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ICP &amp; Scoring" sheetId="2" state="visible" r:id="rId2"/>
    <sheet name="Lists (ref)" sheetId="3" state="visible" r:id="rId3"/>
    <sheet name="Deep enrichment" sheetId="4" state="visible" r:id="rId4"/>
  </sheets>
  <definedNames>
    <definedName name="_xlnm._FilterDatabase" localSheetId="0" hidden="1">'Leads'!$A$3:$W$503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1A1A"/>
      <sz val="16"/>
    </font>
    <font>
      <name val="Arial"/>
      <i val="1"/>
      <color rgb="006B6B6B"/>
      <sz val="10"/>
    </font>
    <font>
      <name val="Arial"/>
      <color rgb="000000FF"/>
      <sz val="10"/>
    </font>
    <font>
      <name val="Arial"/>
      <color rgb="001A1A1A"/>
      <sz val="10"/>
    </font>
    <font>
      <name val="Arial"/>
      <b val="1"/>
      <color rgb="0016324F"/>
      <sz val="13"/>
    </font>
    <font>
      <name val="Arial"/>
      <b val="1"/>
      <color rgb="001A1A1A"/>
      <sz val="10"/>
    </font>
    <font>
      <name val="Arial"/>
      <color rgb="004A4A4A"/>
      <sz val="10"/>
    </font>
    <font>
      <name val="Arial"/>
      <b val="1"/>
      <color rgb="0016324F"/>
      <sz val="14"/>
    </font>
    <font>
      <name val="Arial"/>
      <i val="1"/>
      <color rgb="006B6B6B"/>
      <sz val="9"/>
    </font>
    <font>
      <name val="Arial"/>
      <b val="1"/>
      <sz val="10"/>
    </font>
    <font>
      <name val="Arial"/>
      <i val="1"/>
      <color rgb="009A9A9A"/>
      <sz val="10"/>
    </font>
    <font>
      <name val="Arial"/>
      <color rgb="00B45309"/>
      <sz val="10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7DB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3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22" customWidth="1" min="11" max="11"/>
    <col width="16" customWidth="1" min="12" max="12"/>
    <col width="16" customWidth="1" min="13" max="13"/>
    <col width="22" customWidth="1" min="14" max="14"/>
    <col width="18" customWidth="1" min="15" max="15"/>
    <col width="16" customWidth="1" min="16" max="16"/>
    <col width="14" customWidth="1" min="17" max="17"/>
    <col width="8" customWidth="1" min="18" max="18"/>
    <col width="8" customWidth="1" min="19" max="19"/>
    <col width="16" customWidth="1" min="20" max="20"/>
    <col width="13" customWidth="1" min="21" max="21"/>
    <col width="22" customWidth="1" min="22" max="22"/>
    <col width="34" customWidth="1" min="23" max="23"/>
  </cols>
  <sheetData>
    <row r="1">
      <c r="A1" s="1" t="inlineStr">
        <is>
          <t>Influence Hub — Lead base (F&amp;B venues)</t>
        </is>
      </c>
    </row>
    <row r="2" ht="28" customHeight="1">
      <c r="A2" s="2" t="inlineStr">
        <is>
          <t>Fill BLUE columns. Score &amp; Tier are auto (black). Work top-down by Tier A → B → C. Row 4 is an example — overwrite or delete it.</t>
        </is>
      </c>
    </row>
    <row r="3" ht="30" customHeight="1">
      <c r="A3" s="3" t="inlineStr">
        <is>
          <t>Venue name</t>
        </is>
      </c>
      <c r="B3" s="3" t="inlineStr">
        <is>
          <t>Type</t>
        </is>
      </c>
      <c r="C3" s="3" t="inlineStr">
        <is>
          <t>District</t>
        </is>
      </c>
      <c r="D3" s="3" t="inlineStr">
        <is>
          <t>Locations</t>
        </is>
      </c>
      <c r="E3" s="3" t="inlineStr">
        <is>
          <t>IG handle</t>
        </is>
      </c>
      <c r="F3" s="3" t="inlineStr">
        <is>
          <t>IG followers</t>
        </is>
      </c>
      <c r="G3" s="3" t="inlineStr">
        <is>
          <t>Posts UGC?</t>
        </is>
      </c>
      <c r="H3" s="3" t="inlineStr">
        <is>
          <t>Google rating</t>
        </is>
      </c>
      <c r="I3" s="3" t="inlineStr">
        <is>
          <t>Google reviews</t>
        </is>
      </c>
      <c r="J3" s="3" t="inlineStr">
        <is>
          <t>New (&lt;6 mo)?</t>
        </is>
      </c>
      <c r="K3" s="3" t="inlineStr">
        <is>
          <t>Website</t>
        </is>
      </c>
      <c r="L3" s="3" t="inlineStr">
        <is>
          <t>Phone</t>
        </is>
      </c>
      <c r="M3" s="3" t="inlineStr">
        <is>
          <t>WhatsApp</t>
        </is>
      </c>
      <c r="N3" s="3" t="inlineStr">
        <is>
          <t>Email</t>
        </is>
      </c>
      <c r="O3" s="3" t="inlineStr">
        <is>
          <t>Decision maker</t>
        </is>
      </c>
      <c r="P3" s="3" t="inlineStr">
        <is>
          <t>Role</t>
        </is>
      </c>
      <c r="Q3" s="3" t="inlineStr">
        <is>
          <t>Best channel</t>
        </is>
      </c>
      <c r="R3" s="3" t="inlineStr">
        <is>
          <t>Score</t>
        </is>
      </c>
      <c r="S3" s="3" t="inlineStr">
        <is>
          <t>Tier</t>
        </is>
      </c>
      <c r="T3" s="3" t="inlineStr">
        <is>
          <t>Status</t>
        </is>
      </c>
      <c r="U3" s="3" t="inlineStr">
        <is>
          <t>Last touch</t>
        </is>
      </c>
      <c r="V3" s="3" t="inlineStr">
        <is>
          <t>Next step</t>
        </is>
      </c>
      <c r="W3" s="3" t="inlineStr">
        <is>
          <t>Notes</t>
        </is>
      </c>
    </row>
    <row r="4">
      <c r="A4" s="4" t="inlineStr">
        <is>
          <t>Stella's Coffee House - JVC</t>
        </is>
      </c>
      <c r="B4" s="4" t="inlineStr">
        <is>
          <t>Specialty coffee</t>
        </is>
      </c>
      <c r="C4" s="4" t="inlineStr">
        <is>
          <t>JVC</t>
        </is>
      </c>
      <c r="D4" s="4" t="inlineStr">
        <is>
          <t>1 venue</t>
        </is>
      </c>
      <c r="E4" s="4" t="inlineStr">
        <is>
          <t>@stellas_coffeehouse</t>
        </is>
      </c>
      <c r="F4" s="5" t="n"/>
      <c r="G4" s="4" t="n"/>
      <c r="H4" s="6" t="n">
        <v>4.9</v>
      </c>
      <c r="I4" s="5" t="n">
        <v>300</v>
      </c>
      <c r="J4" s="4" t="n"/>
      <c r="K4" s="4" t="inlineStr">
        <is>
          <t>stellasdxb.com</t>
        </is>
      </c>
      <c r="L4" s="4" t="inlineStr">
        <is>
          <t>+971 4 566 1080</t>
        </is>
      </c>
      <c r="M4" s="4" t="n"/>
      <c r="N4" s="4" t="inlineStr">
        <is>
          <t>bassel@stellasdxb.com</t>
        </is>
      </c>
      <c r="O4" s="4" t="inlineStr">
        <is>
          <t>Bassel</t>
        </is>
      </c>
      <c r="P4" s="4" t="inlineStr">
        <is>
          <t>Owner</t>
        </is>
      </c>
      <c r="Q4" s="4" t="inlineStr">
        <is>
          <t>Email</t>
        </is>
      </c>
      <c r="R4" s="7">
        <f>IF(A4="","",IF(AND(N(F4)&gt;=3000,G4&lt;&gt;"Yes"),3,0)+IF(J4="Yes",2,0)+IF(OR(D4="1 venue",D4="2-6 venues"),1,0)+IF(OR(B4="Specialty coffee",B4="Brunch / cafe",B4="Dessert / bakery"),1,0)+IF(AND(N(H4)&gt;=4.3,N(I4)&gt;=50),1,0)+IF(AND(OR(M4&lt;&gt;"",N4&lt;&gt;""),O4&lt;&gt;""),1,0))</f>
        <v/>
      </c>
      <c r="S4" s="7">
        <f>IF(R4="","",IF(R4&gt;=6,"A",IF(R4&gt;=4,"B","C")))</f>
        <v/>
      </c>
      <c r="T4" s="4" t="inlineStr">
        <is>
          <t>1 - Enriched</t>
        </is>
      </c>
      <c r="U4" s="8" t="n"/>
      <c r="V4" s="4" t="inlineStr">
        <is>
          <t>Personal email to Bassel + 2 profiles</t>
        </is>
      </c>
      <c r="W4" s="9" t="inlineStr">
        <is>
          <t>Dog cafe, owner actively replies to reviews. Personal email bassel@ on the domain = likely owner (role inferred). Also TikTok @stellas_coffeehouse. Al Barsha South Fourth, JVC. Landline only.</t>
        </is>
      </c>
    </row>
    <row r="5">
      <c r="A5" s="10" t="inlineStr">
        <is>
          <t>VITOR CASTRO - JVC</t>
        </is>
      </c>
      <c r="B5" s="10" t="inlineStr">
        <is>
          <t>Dessert / bakery</t>
        </is>
      </c>
      <c r="C5" s="10" t="inlineStr">
        <is>
          <t>JVC</t>
        </is>
      </c>
      <c r="D5" s="10" t="inlineStr">
        <is>
          <t>1 venue</t>
        </is>
      </c>
      <c r="E5" s="10" t="inlineStr">
        <is>
          <t>@vitorcastro.space</t>
        </is>
      </c>
      <c r="F5" s="11" t="n"/>
      <c r="G5" s="10" t="n"/>
      <c r="H5" s="12" t="n">
        <v>4.9</v>
      </c>
      <c r="I5" s="11" t="n">
        <v>168</v>
      </c>
      <c r="J5" s="10" t="inlineStr">
        <is>
          <t>Yes</t>
        </is>
      </c>
      <c r="K5" s="10" t="n"/>
      <c r="L5" s="10" t="inlineStr">
        <is>
          <t>+971 52 957 7969</t>
        </is>
      </c>
      <c r="M5" s="10" t="inlineStr">
        <is>
          <t>+971 52 957 7969</t>
        </is>
      </c>
      <c r="N5" s="10" t="n"/>
      <c r="O5" s="10" t="n"/>
      <c r="P5" s="10" t="n"/>
      <c r="Q5" s="10" t="inlineStr">
        <is>
          <t>WhatsApp</t>
        </is>
      </c>
      <c r="R5" s="13">
        <f>IF(A5="","",IF(AND(N(F5)&gt;=3000,G5&lt;&gt;"Yes"),3,0)+IF(J5="Yes",2,0)+IF(OR(D5="1 venue",D5="2-6 venues"),1,0)+IF(OR(B5="Specialty coffee",B5="Brunch / cafe",B5="Dessert / bakery"),1,0)+IF(AND(N(H5)&gt;=4.3,N(I5)&gt;=50),1,0)+IF(AND(OR(M5&lt;&gt;"",N5&lt;&gt;""),O5&lt;&gt;""),1,0))</f>
        <v/>
      </c>
      <c r="S5" s="13">
        <f>IF(R5="","",IF(R5&gt;=6,"A",IF(R5&gt;=4,"B","C")))</f>
        <v/>
      </c>
      <c r="T5" s="10" t="inlineStr">
        <is>
          <t>1 - Enriched</t>
        </is>
      </c>
      <c r="U5" s="14" t="n"/>
      <c r="V5" s="10" t="inlineStr">
        <is>
          <t>WhatsApp opener (mobile) + 2 profiles</t>
        </is>
      </c>
      <c r="W5" s="10" t="inlineStr">
        <is>
          <t>Portuguese bakery (pastel de nata) + specialty coffee. Recently opened (Curly Tales). NO website -&gt; socials-first, strong trial-month fit. The Icon Casa 4.</t>
        </is>
      </c>
    </row>
    <row r="6">
      <c r="A6" s="10" t="inlineStr">
        <is>
          <t>Loukie's Speciality Coffee</t>
        </is>
      </c>
      <c r="B6" s="10" t="inlineStr">
        <is>
          <t>Specialty coffee</t>
        </is>
      </c>
      <c r="C6" s="10" t="inlineStr">
        <is>
          <t>JVC</t>
        </is>
      </c>
      <c r="D6" s="10" t="inlineStr">
        <is>
          <t>1 venue</t>
        </is>
      </c>
      <c r="E6" s="10" t="n"/>
      <c r="F6" s="11" t="n"/>
      <c r="G6" s="10" t="n"/>
      <c r="H6" s="12" t="n">
        <v>4.9</v>
      </c>
      <c r="I6" s="11" t="n">
        <v>135</v>
      </c>
      <c r="J6" s="10" t="n"/>
      <c r="K6" s="10" t="inlineStr">
        <is>
          <t>loukies.coffee</t>
        </is>
      </c>
      <c r="L6" s="10" t="inlineStr">
        <is>
          <t>+971 58 584 5945</t>
        </is>
      </c>
      <c r="M6" s="10" t="inlineStr">
        <is>
          <t>+971 58 584 5945</t>
        </is>
      </c>
      <c r="N6" s="10" t="n"/>
      <c r="O6" s="10" t="n"/>
      <c r="P6" s="10" t="n"/>
      <c r="Q6" s="10" t="inlineStr">
        <is>
          <t>WhatsApp</t>
        </is>
      </c>
      <c r="R6" s="13">
        <f>IF(A6="","",IF(AND(N(F6)&gt;=3000,G6&lt;&gt;"Yes"),3,0)+IF(J6="Yes",2,0)+IF(OR(D6="1 venue",D6="2-6 venues"),1,0)+IF(OR(B6="Specialty coffee",B6="Brunch / cafe",B6="Dessert / bakery"),1,0)+IF(AND(N(H6)&gt;=4.3,N(I6)&gt;=50),1,0)+IF(AND(OR(M6&lt;&gt;"",N6&lt;&gt;""),O6&lt;&gt;""),1,0))</f>
        <v/>
      </c>
      <c r="S6" s="13">
        <f>IF(R6="","",IF(R6&gt;=6,"A",IF(R6&gt;=4,"B","C")))</f>
        <v/>
      </c>
      <c r="T6" s="10" t="inlineStr">
        <is>
          <t>1 - Enriched</t>
        </is>
      </c>
      <c r="U6" s="14" t="n"/>
      <c r="V6" s="10" t="inlineStr">
        <is>
          <t>Verify IG handle, then WhatsApp opener</t>
        </is>
      </c>
      <c r="W6" s="10" t="inlineStr">
        <is>
          <t>Sgal Community Park, district 15. IG handle not confirmed in search - verify on the venue.</t>
        </is>
      </c>
    </row>
    <row r="7">
      <c r="A7" s="10" t="inlineStr">
        <is>
          <t>Village Hangout Cafe (JVC)</t>
        </is>
      </c>
      <c r="B7" s="10" t="inlineStr">
        <is>
          <t>Brunch / cafe</t>
        </is>
      </c>
      <c r="C7" s="10" t="inlineStr">
        <is>
          <t>JVC</t>
        </is>
      </c>
      <c r="D7" s="10" t="inlineStr">
        <is>
          <t>1 venue</t>
        </is>
      </c>
      <c r="E7" s="10" t="inlineStr">
        <is>
          <t>@villagehangoutcafe</t>
        </is>
      </c>
      <c r="F7" s="11" t="n">
        <v>641</v>
      </c>
      <c r="G7" s="10" t="n"/>
      <c r="H7" s="12" t="n">
        <v>4.9</v>
      </c>
      <c r="I7" s="11" t="n">
        <v>1481</v>
      </c>
      <c r="J7" s="10" t="n"/>
      <c r="K7" s="10" t="inlineStr">
        <is>
          <t>villagehangoutcafe.com</t>
        </is>
      </c>
      <c r="L7" s="10" t="inlineStr">
        <is>
          <t>+971 56 650 6045</t>
        </is>
      </c>
      <c r="M7" s="10" t="inlineStr">
        <is>
          <t>+971 56 650 6045</t>
        </is>
      </c>
      <c r="N7" s="10" t="inlineStr">
        <is>
          <t>villagehangoutjvc@gmail.com</t>
        </is>
      </c>
      <c r="O7" s="10" t="inlineStr">
        <is>
          <t>Varsha</t>
        </is>
      </c>
      <c r="P7" s="10" t="inlineStr">
        <is>
          <t>Owner</t>
        </is>
      </c>
      <c r="Q7" s="10" t="inlineStr">
        <is>
          <t>WhatsApp</t>
        </is>
      </c>
      <c r="R7" s="13">
        <f>IF(A7="","",IF(AND(N(F7)&gt;=3000,G7&lt;&gt;"Yes"),3,0)+IF(J7="Yes",2,0)+IF(OR(D7="1 venue",D7="2-6 venues"),1,0)+IF(OR(B7="Specialty coffee",B7="Brunch / cafe",B7="Dessert / bakery"),1,0)+IF(AND(N(H7)&gt;=4.3,N(I7)&gt;=50),1,0)+IF(AND(OR(M7&lt;&gt;"",N7&lt;&gt;""),O7&lt;&gt;""),1,0))</f>
        <v/>
      </c>
      <c r="S7" s="13">
        <f>IF(R7="","",IF(R7&gt;=6,"A",IF(R7&gt;=4,"B","C")))</f>
        <v/>
      </c>
      <c r="T7" s="10" t="inlineStr">
        <is>
          <t>1 - Enriched</t>
        </is>
      </c>
      <c r="U7" s="14" t="n"/>
      <c r="V7" s="10" t="inlineStr">
        <is>
          <t>WhatsApp opener to Varsha + 2 profiles</t>
        </is>
      </c>
      <c r="W7" s="10" t="inlineStr">
        <is>
          <t>All-day breakfast + specialty coffee. 1481 Google reviews but only ~641 IG followers = weak social flow -&gt; ideal pitch. 178 IG posts. Owner: Varsha. Reef Residence.</t>
        </is>
      </c>
    </row>
    <row r="8">
      <c r="A8" s="10" t="inlineStr">
        <is>
          <t>Roasters Specialty Coffee House Dubai Hills</t>
        </is>
      </c>
      <c r="B8" s="10" t="inlineStr">
        <is>
          <t>Specialty coffee</t>
        </is>
      </c>
      <c r="C8" s="10" t="inlineStr">
        <is>
          <t>Dubai Hills</t>
        </is>
      </c>
      <c r="D8" s="10" t="inlineStr">
        <is>
          <t>7+ venues</t>
        </is>
      </c>
      <c r="E8" s="10" t="inlineStr">
        <is>
          <t>@roasterscoffee_dxb</t>
        </is>
      </c>
      <c r="F8" s="11" t="n">
        <v>69000</v>
      </c>
      <c r="G8" s="10" t="inlineStr">
        <is>
          <t>Yes</t>
        </is>
      </c>
      <c r="H8" s="12" t="n">
        <v>4.8</v>
      </c>
      <c r="I8" s="11" t="n">
        <v>886</v>
      </c>
      <c r="J8" s="10" t="inlineStr">
        <is>
          <t>Yes</t>
        </is>
      </c>
      <c r="K8" s="10" t="inlineStr">
        <is>
          <t>roasterscoffee.ae</t>
        </is>
      </c>
      <c r="L8" s="10" t="inlineStr">
        <is>
          <t>+971 58 514 4267</t>
        </is>
      </c>
      <c r="M8" s="10" t="inlineStr">
        <is>
          <t>+971 58 514 4267</t>
        </is>
      </c>
      <c r="N8" s="10" t="n"/>
      <c r="O8" s="10" t="n"/>
      <c r="P8" s="10" t="n"/>
      <c r="Q8" s="10" t="inlineStr">
        <is>
          <t>WhatsApp</t>
        </is>
      </c>
      <c r="R8" s="13">
        <f>IF(A8="","",IF(AND(N(F8)&gt;=3000,G8&lt;&gt;"Yes"),3,0)+IF(J8="Yes",2,0)+IF(OR(D8="1 venue",D8="2-6 venues"),1,0)+IF(OR(B8="Specialty coffee",B8="Brunch / cafe",B8="Dessert / bakery"),1,0)+IF(AND(N(H8)&gt;=4.3,N(I8)&gt;=50),1,0)+IF(AND(OR(M8&lt;&gt;"",N8&lt;&gt;""),O8&lt;&gt;""),1,0))</f>
        <v/>
      </c>
      <c r="S8" s="13">
        <f>IF(R8="","",IF(R8&gt;=6,"A",IF(R8&gt;=4,"B","C")))</f>
        <v/>
      </c>
      <c r="T8" s="10" t="inlineStr">
        <is>
          <t>1 - Enriched</t>
        </is>
      </c>
      <c r="U8" s="14" t="n"/>
      <c r="V8" s="10" t="inlineStr">
        <is>
          <t>Lower priority - large chain, already saturated with UGC</t>
        </is>
      </c>
      <c r="W8" s="10" t="inlineStr">
        <is>
          <t>Big local chain (Guinness-awarded), 69K IG, Dubai Hills branch just opened. Already gets heavy UGC -&gt; weak fit for trial pitch. Included for contrast.</t>
        </is>
      </c>
    </row>
    <row r="9">
      <c r="A9" s="10" t="inlineStr">
        <is>
          <t>The Coffee Merchant</t>
        </is>
      </c>
      <c r="B9" s="10" t="inlineStr">
        <is>
          <t>Specialty coffee</t>
        </is>
      </c>
      <c r="C9" s="10" t="inlineStr">
        <is>
          <t>Business Bay</t>
        </is>
      </c>
      <c r="D9" s="10" t="inlineStr">
        <is>
          <t>1 venue</t>
        </is>
      </c>
      <c r="E9" s="10" t="inlineStr">
        <is>
          <t>@thecoffeemerchant.ae</t>
        </is>
      </c>
      <c r="F9" s="11" t="n">
        <v>3075</v>
      </c>
      <c r="G9" s="10" t="n"/>
      <c r="H9" s="12" t="n">
        <v>4.9</v>
      </c>
      <c r="I9" s="11" t="n">
        <v>397</v>
      </c>
      <c r="J9" s="10" t="n"/>
      <c r="K9" s="10" t="inlineStr">
        <is>
          <t>thecoffeemerchant.ae</t>
        </is>
      </c>
      <c r="L9" s="10" t="inlineStr">
        <is>
          <t>+971 56 741 6664</t>
        </is>
      </c>
      <c r="M9" s="10" t="inlineStr">
        <is>
          <t>+971 56 741 6664</t>
        </is>
      </c>
      <c r="N9" s="10" t="inlineStr">
        <is>
          <t>thecoffeemerchantae@gmail.com</t>
        </is>
      </c>
      <c r="O9" s="10" t="n"/>
      <c r="P9" s="10" t="n"/>
      <c r="Q9" s="10" t="inlineStr">
        <is>
          <t>WhatsApp</t>
        </is>
      </c>
      <c r="R9" s="13">
        <f>IF(A9="","",IF(AND(N(F9)&gt;=3000,G9&lt;&gt;"Yes"),3,0)+IF(J9="Yes",2,0)+IF(OR(D9="1 venue",D9="2-6 venues"),1,0)+IF(OR(B9="Specialty coffee",B9="Brunch / cafe",B9="Dessert / bakery"),1,0)+IF(AND(N(H9)&gt;=4.3,N(I9)&gt;=50),1,0)+IF(AND(OR(M9&lt;&gt;"",N9&lt;&gt;""),O9&lt;&gt;""),1,0))</f>
        <v/>
      </c>
      <c r="S9" s="13">
        <f>IF(R9="","",IF(R9&gt;=6,"A",IF(R9&gt;=4,"B","C")))</f>
        <v/>
      </c>
      <c r="T9" s="10" t="inlineStr">
        <is>
          <t>1 - Enriched</t>
        </is>
      </c>
      <c r="U9" s="14" t="n"/>
      <c r="V9" s="10" t="inlineStr">
        <is>
          <t>WhatsApp opener + 2 profiles (email as backup)</t>
        </is>
      </c>
      <c r="W9" s="10" t="inlineStr">
        <is>
          <t>Own roastery. 3.0K IG. AG Tower, Marasi Dr. Email + mobile both public.</t>
        </is>
      </c>
    </row>
    <row r="10">
      <c r="A10" s="10" t="inlineStr">
        <is>
          <t>Title Brew</t>
        </is>
      </c>
      <c r="B10" s="10" t="inlineStr">
        <is>
          <t>Specialty coffee</t>
        </is>
      </c>
      <c r="C10" s="10" t="inlineStr">
        <is>
          <t>Business Bay</t>
        </is>
      </c>
      <c r="D10" s="10" t="inlineStr">
        <is>
          <t>1 venue</t>
        </is>
      </c>
      <c r="E10" s="10" t="n"/>
      <c r="F10" s="11" t="n"/>
      <c r="G10" s="10" t="n"/>
      <c r="H10" s="12" t="n">
        <v>4.7</v>
      </c>
      <c r="I10" s="11" t="n">
        <v>160</v>
      </c>
      <c r="J10" s="10" t="n"/>
      <c r="K10" s="10" t="n"/>
      <c r="L10" s="10" t="inlineStr">
        <is>
          <t>+971 4 447 4703</t>
        </is>
      </c>
      <c r="M10" s="10" t="n"/>
      <c r="N10" s="10" t="n"/>
      <c r="O10" s="10" t="n"/>
      <c r="P10" s="10" t="n"/>
      <c r="Q10" s="10" t="inlineStr">
        <is>
          <t>Instagram DM</t>
        </is>
      </c>
      <c r="R10" s="13">
        <f>IF(A10="","",IF(AND(N(F10)&gt;=3000,G10&lt;&gt;"Yes"),3,0)+IF(J10="Yes",2,0)+IF(OR(D10="1 venue",D10="2-6 venues"),1,0)+IF(OR(B10="Specialty coffee",B10="Brunch / cafe",B10="Dessert / bakery"),1,0)+IF(AND(N(H10)&gt;=4.3,N(I10)&gt;=50),1,0)+IF(AND(OR(M10&lt;&gt;"",N10&lt;&gt;""),O10&lt;&gt;""),1,0))</f>
        <v/>
      </c>
      <c r="S10" s="13">
        <f>IF(R10="","",IF(R10&gt;=6,"A",IF(R10&gt;=4,"B","C")))</f>
        <v/>
      </c>
      <c r="T10" s="10" t="inlineStr">
        <is>
          <t>1 - Enriched</t>
        </is>
      </c>
      <c r="U10" s="14" t="n"/>
      <c r="V10" s="10" t="inlineStr">
        <is>
          <t>Find IG handle, then IG DM opener</t>
        </is>
      </c>
      <c r="W10" s="10" t="inlineStr">
        <is>
          <t>Indie / vinyl vibe, built for creatives. Bay Square 08, Marasi Dr. NO website -&gt; socials-first. IG handle to confirm on venue.</t>
        </is>
      </c>
    </row>
    <row r="11">
      <c r="A11" s="10" t="inlineStr">
        <is>
          <t>Estekana Cafe</t>
        </is>
      </c>
      <c r="B11" s="10" t="inlineStr">
        <is>
          <t>Specialty coffee</t>
        </is>
      </c>
      <c r="C11" s="10" t="inlineStr">
        <is>
          <t>Business Bay</t>
        </is>
      </c>
      <c r="D11" s="10" t="inlineStr">
        <is>
          <t>1 venue</t>
        </is>
      </c>
      <c r="E11" s="10" t="inlineStr">
        <is>
          <t>@estekanacafe.ae</t>
        </is>
      </c>
      <c r="F11" s="11" t="n">
        <v>389</v>
      </c>
      <c r="G11" s="10" t="n"/>
      <c r="H11" s="12" t="n">
        <v>4.2</v>
      </c>
      <c r="I11" s="11" t="n">
        <v>69</v>
      </c>
      <c r="J11" s="10" t="n"/>
      <c r="K11" s="10" t="inlineStr">
        <is>
          <t>l.wl.co (linktree)</t>
        </is>
      </c>
      <c r="L11" s="10" t="inlineStr">
        <is>
          <t>+971 4 423 2239</t>
        </is>
      </c>
      <c r="M11" s="10" t="n"/>
      <c r="N11" s="10" t="n"/>
      <c r="O11" s="10" t="n"/>
      <c r="P11" s="10" t="n"/>
      <c r="Q11" s="10" t="inlineStr">
        <is>
          <t>Instagram DM</t>
        </is>
      </c>
      <c r="R11" s="13">
        <f>IF(A11="","",IF(AND(N(F11)&gt;=3000,G11&lt;&gt;"Yes"),3,0)+IF(J11="Yes",2,0)+IF(OR(D11="1 venue",D11="2-6 venues"),1,0)+IF(OR(B11="Specialty coffee",B11="Brunch / cafe",B11="Dessert / bakery"),1,0)+IF(AND(N(H11)&gt;=4.3,N(I11)&gt;=50),1,0)+IF(AND(OR(M11&lt;&gt;"",N11&lt;&gt;""),O11&lt;&gt;""),1,0))</f>
        <v/>
      </c>
      <c r="S11" s="13">
        <f>IF(R11="","",IF(R11&gt;=6,"A",IF(R11&gt;=4,"B","C")))</f>
        <v/>
      </c>
      <c r="T11" s="10" t="inlineStr">
        <is>
          <t>1 - Enriched</t>
        </is>
      </c>
      <c r="U11" s="14" t="n"/>
      <c r="V11" s="10" t="inlineStr">
        <is>
          <t>IG DM opener + 2 profiles</t>
        </is>
      </c>
      <c r="W11" s="10" t="inlineStr">
        <is>
          <t>Blue Bay Tower, Marasi Dr. Burj Khalifa view, Turkish coffee. Lowest social proof of the set (4.2 / 69). 389 IG followers, 135 posts. Link-tree, not a real site.</t>
        </is>
      </c>
    </row>
    <row r="12">
      <c r="A12" s="10" t="inlineStr">
        <is>
          <t>Baristas' Corner Business Bay</t>
        </is>
      </c>
      <c r="B12" s="10" t="inlineStr">
        <is>
          <t>Specialty coffee</t>
        </is>
      </c>
      <c r="C12" s="10" t="inlineStr">
        <is>
          <t>Business Bay</t>
        </is>
      </c>
      <c r="D12" s="10" t="inlineStr">
        <is>
          <t>1 venue</t>
        </is>
      </c>
      <c r="E12" s="10" t="inlineStr">
        <is>
          <t>@baristascornerofficial</t>
        </is>
      </c>
      <c r="F12" s="11" t="n">
        <v>3576</v>
      </c>
      <c r="G12" s="10" t="n"/>
      <c r="H12" s="12" t="n">
        <v>4.4</v>
      </c>
      <c r="I12" s="11" t="n">
        <v>158</v>
      </c>
      <c r="J12" s="10" t="n"/>
      <c r="K12" s="10" t="inlineStr">
        <is>
          <t>baristascorner.com</t>
        </is>
      </c>
      <c r="L12" s="10" t="inlineStr">
        <is>
          <t>+971 56 446 4461</t>
        </is>
      </c>
      <c r="M12" s="10" t="inlineStr">
        <is>
          <t>+971 56 446 4461</t>
        </is>
      </c>
      <c r="N12" s="10" t="inlineStr">
        <is>
          <t>info@baristascorner.com</t>
        </is>
      </c>
      <c r="O12" s="10" t="n"/>
      <c r="P12" s="10" t="n"/>
      <c r="Q12" s="10" t="inlineStr">
        <is>
          <t>WhatsApp</t>
        </is>
      </c>
      <c r="R12" s="13">
        <f>IF(A12="","",IF(AND(N(F12)&gt;=3000,G12&lt;&gt;"Yes"),3,0)+IF(J12="Yes",2,0)+IF(OR(D12="1 venue",D12="2-6 venues"),1,0)+IF(OR(B12="Specialty coffee",B12="Brunch / cafe",B12="Dessert / bakery"),1,0)+IF(AND(N(H12)&gt;=4.3,N(I12)&gt;=50),1,0)+IF(AND(OR(M12&lt;&gt;"",N12&lt;&gt;""),O12&lt;&gt;""),1,0))</f>
        <v/>
      </c>
      <c r="S12" s="13">
        <f>IF(R12="","",IF(R12&gt;=6,"A",IF(R12&gt;=4,"B","C")))</f>
        <v/>
      </c>
      <c r="T12" s="10" t="inlineStr">
        <is>
          <t>1 - Enriched</t>
        </is>
      </c>
      <c r="U12" s="14" t="n"/>
      <c r="V12" s="10" t="inlineStr">
        <is>
          <t>WhatsApp opener (mobile from site) + 2 profiles</t>
        </is>
      </c>
      <c r="W12" s="10" t="inlineStr">
        <is>
          <t>24h, Canal Central Hotel, Marasi Dr. 3.6K IG, 317 posts. Mobile +971 56 446 4461 from website (Google listing shows landline +971 4 873 2191). 'Brainchild of an Emirati entrepreneur' - name not public. Owner claimed the Google listing.</t>
        </is>
      </c>
    </row>
    <row r="13">
      <c r="A13" s="10" t="inlineStr">
        <is>
          <t>Kimi - Speciality Coffee and Food</t>
        </is>
      </c>
      <c r="B13" s="10" t="inlineStr">
        <is>
          <t>Brunch / cafe</t>
        </is>
      </c>
      <c r="C13" s="10" t="inlineStr">
        <is>
          <t>Business Bay</t>
        </is>
      </c>
      <c r="D13" s="10" t="inlineStr">
        <is>
          <t>1 venue</t>
        </is>
      </c>
      <c r="E13" s="10" t="inlineStr">
        <is>
          <t>@kimicafedubai</t>
        </is>
      </c>
      <c r="F13" s="11" t="n"/>
      <c r="G13" s="10" t="n"/>
      <c r="H13" s="12" t="n">
        <v>4.8</v>
      </c>
      <c r="I13" s="11" t="n">
        <v>176</v>
      </c>
      <c r="J13" s="10" t="n"/>
      <c r="K13" s="10" t="inlineStr">
        <is>
          <t>kimicafe.com</t>
        </is>
      </c>
      <c r="L13" s="10" t="inlineStr">
        <is>
          <t>+971 4 572 3647</t>
        </is>
      </c>
      <c r="M13" s="10" t="n"/>
      <c r="N13" s="10" t="n"/>
      <c r="O13" s="10" t="n"/>
      <c r="P13" s="10" t="n"/>
      <c r="Q13" s="10" t="inlineStr">
        <is>
          <t>Instagram DM</t>
        </is>
      </c>
      <c r="R13" s="13">
        <f>IF(A13="","",IF(AND(N(F13)&gt;=3000,G13&lt;&gt;"Yes"),3,0)+IF(J13="Yes",2,0)+IF(OR(D13="1 venue",D13="2-6 venues"),1,0)+IF(OR(B13="Specialty coffee",B13="Brunch / cafe",B13="Dessert / bakery"),1,0)+IF(AND(N(H13)&gt;=4.3,N(I13)&gt;=50),1,0)+IF(AND(OR(M13&lt;&gt;"",N13&lt;&gt;""),O13&lt;&gt;""),1,0))</f>
        <v/>
      </c>
      <c r="S13" s="13">
        <f>IF(R13="","",IF(R13&gt;=6,"A",IF(R13&gt;=4,"B","C")))</f>
        <v/>
      </c>
      <c r="T13" s="10" t="inlineStr">
        <is>
          <t>1 - Enriched</t>
        </is>
      </c>
      <c r="U13" s="14" t="n"/>
      <c r="V13" s="10" t="inlineStr">
        <is>
          <t>IG DM opener + 2 profiles</t>
        </is>
      </c>
      <c r="W13" s="10" t="inlineStr">
        <is>
          <t>Design-forward cafe (award-noted interior). Bay Square, Building 09. Owner claimed the Google listing.</t>
        </is>
      </c>
    </row>
    <row r="14">
      <c r="A14" s="10" t="n"/>
      <c r="B14" s="10" t="n"/>
      <c r="C14" s="10" t="n"/>
      <c r="D14" s="10" t="n"/>
      <c r="E14" s="10" t="n"/>
      <c r="F14" s="11" t="n"/>
      <c r="G14" s="10" t="n"/>
      <c r="H14" s="12" t="n"/>
      <c r="I14" s="11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3">
        <f>IF(A14="","",IF(AND(N(F14)&gt;=3000,G14&lt;&gt;"Yes"),3,0)+IF(J14="Yes",2,0)+IF(OR(D14="1 venue",D14="2-6 venues"),1,0)+IF(OR(B14="Specialty coffee",B14="Brunch / cafe",B14="Dessert / bakery"),1,0)+IF(AND(N(H14)&gt;=4.3,N(I14)&gt;=50),1,0)+IF(AND(OR(M14&lt;&gt;"",N14&lt;&gt;""),O14&lt;&gt;""),1,0))</f>
        <v/>
      </c>
      <c r="S14" s="13">
        <f>IF(R14="","",IF(R14&gt;=6,"A",IF(R14&gt;=4,"B","C")))</f>
        <v/>
      </c>
      <c r="T14" s="10" t="n"/>
      <c r="U14" s="14" t="n"/>
      <c r="V14" s="10" t="n"/>
      <c r="W14" s="10" t="n"/>
    </row>
    <row r="15">
      <c r="A15" s="10" t="n"/>
      <c r="B15" s="10" t="n"/>
      <c r="C15" s="10" t="n"/>
      <c r="D15" s="10" t="n"/>
      <c r="E15" s="10" t="n"/>
      <c r="F15" s="11" t="n"/>
      <c r="G15" s="10" t="n"/>
      <c r="H15" s="12" t="n"/>
      <c r="I15" s="11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3">
        <f>IF(A15="","",IF(AND(N(F15)&gt;=3000,G15&lt;&gt;"Yes"),3,0)+IF(J15="Yes",2,0)+IF(OR(D15="1 venue",D15="2-6 venues"),1,0)+IF(OR(B15="Specialty coffee",B15="Brunch / cafe",B15="Dessert / bakery"),1,0)+IF(AND(N(H15)&gt;=4.3,N(I15)&gt;=50),1,0)+IF(AND(OR(M15&lt;&gt;"",N15&lt;&gt;""),O15&lt;&gt;""),1,0))</f>
        <v/>
      </c>
      <c r="S15" s="13">
        <f>IF(R15="","",IF(R15&gt;=6,"A",IF(R15&gt;=4,"B","C")))</f>
        <v/>
      </c>
      <c r="T15" s="10" t="n"/>
      <c r="U15" s="14" t="n"/>
      <c r="V15" s="10" t="n"/>
      <c r="W15" s="10" t="n"/>
    </row>
    <row r="16">
      <c r="A16" s="10" t="n"/>
      <c r="B16" s="10" t="n"/>
      <c r="C16" s="10" t="n"/>
      <c r="D16" s="10" t="n"/>
      <c r="E16" s="10" t="n"/>
      <c r="F16" s="11" t="n"/>
      <c r="G16" s="10" t="n"/>
      <c r="H16" s="12" t="n"/>
      <c r="I16" s="11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3">
        <f>IF(A16="","",IF(AND(N(F16)&gt;=3000,G16&lt;&gt;"Yes"),3,0)+IF(J16="Yes",2,0)+IF(OR(D16="1 venue",D16="2-6 venues"),1,0)+IF(OR(B16="Specialty coffee",B16="Brunch / cafe",B16="Dessert / bakery"),1,0)+IF(AND(N(H16)&gt;=4.3,N(I16)&gt;=50),1,0)+IF(AND(OR(M16&lt;&gt;"",N16&lt;&gt;""),O16&lt;&gt;""),1,0))</f>
        <v/>
      </c>
      <c r="S16" s="13">
        <f>IF(R16="","",IF(R16&gt;=6,"A",IF(R16&gt;=4,"B","C")))</f>
        <v/>
      </c>
      <c r="T16" s="10" t="n"/>
      <c r="U16" s="14" t="n"/>
      <c r="V16" s="10" t="n"/>
      <c r="W16" s="10" t="n"/>
    </row>
    <row r="17">
      <c r="A17" s="10" t="n"/>
      <c r="B17" s="10" t="n"/>
      <c r="C17" s="10" t="n"/>
      <c r="D17" s="10" t="n"/>
      <c r="E17" s="10" t="n"/>
      <c r="F17" s="11" t="n"/>
      <c r="G17" s="10" t="n"/>
      <c r="H17" s="12" t="n"/>
      <c r="I17" s="11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3">
        <f>IF(A17="","",IF(AND(N(F17)&gt;=3000,G17&lt;&gt;"Yes"),3,0)+IF(J17="Yes",2,0)+IF(OR(D17="1 venue",D17="2-6 venues"),1,0)+IF(OR(B17="Specialty coffee",B17="Brunch / cafe",B17="Dessert / bakery"),1,0)+IF(AND(N(H17)&gt;=4.3,N(I17)&gt;=50),1,0)+IF(AND(OR(M17&lt;&gt;"",N17&lt;&gt;""),O17&lt;&gt;""),1,0))</f>
        <v/>
      </c>
      <c r="S17" s="13">
        <f>IF(R17="","",IF(R17&gt;=6,"A",IF(R17&gt;=4,"B","C")))</f>
        <v/>
      </c>
      <c r="T17" s="10" t="n"/>
      <c r="U17" s="14" t="n"/>
      <c r="V17" s="10" t="n"/>
      <c r="W17" s="10" t="n"/>
    </row>
    <row r="18">
      <c r="A18" s="10" t="n"/>
      <c r="B18" s="10" t="n"/>
      <c r="C18" s="10" t="n"/>
      <c r="D18" s="10" t="n"/>
      <c r="E18" s="10" t="n"/>
      <c r="F18" s="11" t="n"/>
      <c r="G18" s="10" t="n"/>
      <c r="H18" s="12" t="n"/>
      <c r="I18" s="11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3">
        <f>IF(A18="","",IF(AND(N(F18)&gt;=3000,G18&lt;&gt;"Yes"),3,0)+IF(J18="Yes",2,0)+IF(OR(D18="1 venue",D18="2-6 venues"),1,0)+IF(OR(B18="Specialty coffee",B18="Brunch / cafe",B18="Dessert / bakery"),1,0)+IF(AND(N(H18)&gt;=4.3,N(I18)&gt;=50),1,0)+IF(AND(OR(M18&lt;&gt;"",N18&lt;&gt;""),O18&lt;&gt;""),1,0))</f>
        <v/>
      </c>
      <c r="S18" s="13">
        <f>IF(R18="","",IF(R18&gt;=6,"A",IF(R18&gt;=4,"B","C")))</f>
        <v/>
      </c>
      <c r="T18" s="10" t="n"/>
      <c r="U18" s="14" t="n"/>
      <c r="V18" s="10" t="n"/>
      <c r="W18" s="10" t="n"/>
    </row>
    <row r="19">
      <c r="A19" s="10" t="n"/>
      <c r="B19" s="10" t="n"/>
      <c r="C19" s="10" t="n"/>
      <c r="D19" s="10" t="n"/>
      <c r="E19" s="10" t="n"/>
      <c r="F19" s="11" t="n"/>
      <c r="G19" s="10" t="n"/>
      <c r="H19" s="12" t="n"/>
      <c r="I19" s="11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3">
        <f>IF(A19="","",IF(AND(N(F19)&gt;=3000,G19&lt;&gt;"Yes"),3,0)+IF(J19="Yes",2,0)+IF(OR(D19="1 venue",D19="2-6 venues"),1,0)+IF(OR(B19="Specialty coffee",B19="Brunch / cafe",B19="Dessert / bakery"),1,0)+IF(AND(N(H19)&gt;=4.3,N(I19)&gt;=50),1,0)+IF(AND(OR(M19&lt;&gt;"",N19&lt;&gt;""),O19&lt;&gt;""),1,0))</f>
        <v/>
      </c>
      <c r="S19" s="13">
        <f>IF(R19="","",IF(R19&gt;=6,"A",IF(R19&gt;=4,"B","C")))</f>
        <v/>
      </c>
      <c r="T19" s="10" t="n"/>
      <c r="U19" s="14" t="n"/>
      <c r="V19" s="10" t="n"/>
      <c r="W19" s="10" t="n"/>
    </row>
    <row r="20">
      <c r="A20" s="10" t="n"/>
      <c r="B20" s="10" t="n"/>
      <c r="C20" s="10" t="n"/>
      <c r="D20" s="10" t="n"/>
      <c r="E20" s="10" t="n"/>
      <c r="F20" s="11" t="n"/>
      <c r="G20" s="10" t="n"/>
      <c r="H20" s="12" t="n"/>
      <c r="I20" s="11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3">
        <f>IF(A20="","",IF(AND(N(F20)&gt;=3000,G20&lt;&gt;"Yes"),3,0)+IF(J20="Yes",2,0)+IF(OR(D20="1 venue",D20="2-6 venues"),1,0)+IF(OR(B20="Specialty coffee",B20="Brunch / cafe",B20="Dessert / bakery"),1,0)+IF(AND(N(H20)&gt;=4.3,N(I20)&gt;=50),1,0)+IF(AND(OR(M20&lt;&gt;"",N20&lt;&gt;""),O20&lt;&gt;""),1,0))</f>
        <v/>
      </c>
      <c r="S20" s="13">
        <f>IF(R20="","",IF(R20&gt;=6,"A",IF(R20&gt;=4,"B","C")))</f>
        <v/>
      </c>
      <c r="T20" s="10" t="n"/>
      <c r="U20" s="14" t="n"/>
      <c r="V20" s="10" t="n"/>
      <c r="W20" s="10" t="n"/>
    </row>
    <row r="21">
      <c r="A21" s="10" t="n"/>
      <c r="B21" s="10" t="n"/>
      <c r="C21" s="10" t="n"/>
      <c r="D21" s="10" t="n"/>
      <c r="E21" s="10" t="n"/>
      <c r="F21" s="11" t="n"/>
      <c r="G21" s="10" t="n"/>
      <c r="H21" s="12" t="n"/>
      <c r="I21" s="11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3">
        <f>IF(A21="","",IF(AND(N(F21)&gt;=3000,G21&lt;&gt;"Yes"),3,0)+IF(J21="Yes",2,0)+IF(OR(D21="1 venue",D21="2-6 venues"),1,0)+IF(OR(B21="Specialty coffee",B21="Brunch / cafe",B21="Dessert / bakery"),1,0)+IF(AND(N(H21)&gt;=4.3,N(I21)&gt;=50),1,0)+IF(AND(OR(M21&lt;&gt;"",N21&lt;&gt;""),O21&lt;&gt;""),1,0))</f>
        <v/>
      </c>
      <c r="S21" s="13">
        <f>IF(R21="","",IF(R21&gt;=6,"A",IF(R21&gt;=4,"B","C")))</f>
        <v/>
      </c>
      <c r="T21" s="10" t="n"/>
      <c r="U21" s="14" t="n"/>
      <c r="V21" s="10" t="n"/>
      <c r="W21" s="10" t="n"/>
    </row>
    <row r="22">
      <c r="A22" s="10" t="n"/>
      <c r="B22" s="10" t="n"/>
      <c r="C22" s="10" t="n"/>
      <c r="D22" s="10" t="n"/>
      <c r="E22" s="10" t="n"/>
      <c r="F22" s="11" t="n"/>
      <c r="G22" s="10" t="n"/>
      <c r="H22" s="12" t="n"/>
      <c r="I22" s="11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3">
        <f>IF(A22="","",IF(AND(N(F22)&gt;=3000,G22&lt;&gt;"Yes"),3,0)+IF(J22="Yes",2,0)+IF(OR(D22="1 venue",D22="2-6 venues"),1,0)+IF(OR(B22="Specialty coffee",B22="Brunch / cafe",B22="Dessert / bakery"),1,0)+IF(AND(N(H22)&gt;=4.3,N(I22)&gt;=50),1,0)+IF(AND(OR(M22&lt;&gt;"",N22&lt;&gt;""),O22&lt;&gt;""),1,0))</f>
        <v/>
      </c>
      <c r="S22" s="13">
        <f>IF(R22="","",IF(R22&gt;=6,"A",IF(R22&gt;=4,"B","C")))</f>
        <v/>
      </c>
      <c r="T22" s="10" t="n"/>
      <c r="U22" s="14" t="n"/>
      <c r="V22" s="10" t="n"/>
      <c r="W22" s="10" t="n"/>
    </row>
    <row r="23">
      <c r="A23" s="10" t="n"/>
      <c r="B23" s="10" t="n"/>
      <c r="C23" s="10" t="n"/>
      <c r="D23" s="10" t="n"/>
      <c r="E23" s="10" t="n"/>
      <c r="F23" s="11" t="n"/>
      <c r="G23" s="10" t="n"/>
      <c r="H23" s="12" t="n"/>
      <c r="I23" s="11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3">
        <f>IF(A23="","",IF(AND(N(F23)&gt;=3000,G23&lt;&gt;"Yes"),3,0)+IF(J23="Yes",2,0)+IF(OR(D23="1 venue",D23="2-6 venues"),1,0)+IF(OR(B23="Specialty coffee",B23="Brunch / cafe",B23="Dessert / bakery"),1,0)+IF(AND(N(H23)&gt;=4.3,N(I23)&gt;=50),1,0)+IF(AND(OR(M23&lt;&gt;"",N23&lt;&gt;""),O23&lt;&gt;""),1,0))</f>
        <v/>
      </c>
      <c r="S23" s="13">
        <f>IF(R23="","",IF(R23&gt;=6,"A",IF(R23&gt;=4,"B","C")))</f>
        <v/>
      </c>
      <c r="T23" s="10" t="n"/>
      <c r="U23" s="14" t="n"/>
      <c r="V23" s="10" t="n"/>
      <c r="W23" s="10" t="n"/>
    </row>
    <row r="24">
      <c r="A24" s="10" t="n"/>
      <c r="B24" s="10" t="n"/>
      <c r="C24" s="10" t="n"/>
      <c r="D24" s="10" t="n"/>
      <c r="E24" s="10" t="n"/>
      <c r="F24" s="11" t="n"/>
      <c r="G24" s="10" t="n"/>
      <c r="H24" s="12" t="n"/>
      <c r="I24" s="11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3">
        <f>IF(A24="","",IF(AND(N(F24)&gt;=3000,G24&lt;&gt;"Yes"),3,0)+IF(J24="Yes",2,0)+IF(OR(D24="1 venue",D24="2-6 venues"),1,0)+IF(OR(B24="Specialty coffee",B24="Brunch / cafe",B24="Dessert / bakery"),1,0)+IF(AND(N(H24)&gt;=4.3,N(I24)&gt;=50),1,0)+IF(AND(OR(M24&lt;&gt;"",N24&lt;&gt;""),O24&lt;&gt;""),1,0))</f>
        <v/>
      </c>
      <c r="S24" s="13">
        <f>IF(R24="","",IF(R24&gt;=6,"A",IF(R24&gt;=4,"B","C")))</f>
        <v/>
      </c>
      <c r="T24" s="10" t="n"/>
      <c r="U24" s="14" t="n"/>
      <c r="V24" s="10" t="n"/>
      <c r="W24" s="10" t="n"/>
    </row>
    <row r="25">
      <c r="A25" s="10" t="n"/>
      <c r="B25" s="10" t="n"/>
      <c r="C25" s="10" t="n"/>
      <c r="D25" s="10" t="n"/>
      <c r="E25" s="10" t="n"/>
      <c r="F25" s="11" t="n"/>
      <c r="G25" s="10" t="n"/>
      <c r="H25" s="12" t="n"/>
      <c r="I25" s="11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3">
        <f>IF(A25="","",IF(AND(N(F25)&gt;=3000,G25&lt;&gt;"Yes"),3,0)+IF(J25="Yes",2,0)+IF(OR(D25="1 venue",D25="2-6 venues"),1,0)+IF(OR(B25="Specialty coffee",B25="Brunch / cafe",B25="Dessert / bakery"),1,0)+IF(AND(N(H25)&gt;=4.3,N(I25)&gt;=50),1,0)+IF(AND(OR(M25&lt;&gt;"",N25&lt;&gt;""),O25&lt;&gt;""),1,0))</f>
        <v/>
      </c>
      <c r="S25" s="13">
        <f>IF(R25="","",IF(R25&gt;=6,"A",IF(R25&gt;=4,"B","C")))</f>
        <v/>
      </c>
      <c r="T25" s="10" t="n"/>
      <c r="U25" s="14" t="n"/>
      <c r="V25" s="10" t="n"/>
      <c r="W25" s="10" t="n"/>
    </row>
    <row r="26">
      <c r="A26" s="10" t="n"/>
      <c r="B26" s="10" t="n"/>
      <c r="C26" s="10" t="n"/>
      <c r="D26" s="10" t="n"/>
      <c r="E26" s="10" t="n"/>
      <c r="F26" s="11" t="n"/>
      <c r="G26" s="10" t="n"/>
      <c r="H26" s="12" t="n"/>
      <c r="I26" s="11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3">
        <f>IF(A26="","",IF(AND(N(F26)&gt;=3000,G26&lt;&gt;"Yes"),3,0)+IF(J26="Yes",2,0)+IF(OR(D26="1 venue",D26="2-6 venues"),1,0)+IF(OR(B26="Specialty coffee",B26="Brunch / cafe",B26="Dessert / bakery"),1,0)+IF(AND(N(H26)&gt;=4.3,N(I26)&gt;=50),1,0)+IF(AND(OR(M26&lt;&gt;"",N26&lt;&gt;""),O26&lt;&gt;""),1,0))</f>
        <v/>
      </c>
      <c r="S26" s="13">
        <f>IF(R26="","",IF(R26&gt;=6,"A",IF(R26&gt;=4,"B","C")))</f>
        <v/>
      </c>
      <c r="T26" s="10" t="n"/>
      <c r="U26" s="14" t="n"/>
      <c r="V26" s="10" t="n"/>
      <c r="W26" s="10" t="n"/>
    </row>
    <row r="27">
      <c r="A27" s="10" t="n"/>
      <c r="B27" s="10" t="n"/>
      <c r="C27" s="10" t="n"/>
      <c r="D27" s="10" t="n"/>
      <c r="E27" s="10" t="n"/>
      <c r="F27" s="11" t="n"/>
      <c r="G27" s="10" t="n"/>
      <c r="H27" s="12" t="n"/>
      <c r="I27" s="11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3">
        <f>IF(A27="","",IF(AND(N(F27)&gt;=3000,G27&lt;&gt;"Yes"),3,0)+IF(J27="Yes",2,0)+IF(OR(D27="1 venue",D27="2-6 venues"),1,0)+IF(OR(B27="Specialty coffee",B27="Brunch / cafe",B27="Dessert / bakery"),1,0)+IF(AND(N(H27)&gt;=4.3,N(I27)&gt;=50),1,0)+IF(AND(OR(M27&lt;&gt;"",N27&lt;&gt;""),O27&lt;&gt;""),1,0))</f>
        <v/>
      </c>
      <c r="S27" s="13">
        <f>IF(R27="","",IF(R27&gt;=6,"A",IF(R27&gt;=4,"B","C")))</f>
        <v/>
      </c>
      <c r="T27" s="10" t="n"/>
      <c r="U27" s="14" t="n"/>
      <c r="V27" s="10" t="n"/>
      <c r="W27" s="10" t="n"/>
    </row>
    <row r="28">
      <c r="A28" s="10" t="n"/>
      <c r="B28" s="10" t="n"/>
      <c r="C28" s="10" t="n"/>
      <c r="D28" s="10" t="n"/>
      <c r="E28" s="10" t="n"/>
      <c r="F28" s="11" t="n"/>
      <c r="G28" s="10" t="n"/>
      <c r="H28" s="12" t="n"/>
      <c r="I28" s="11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3">
        <f>IF(A28="","",IF(AND(N(F28)&gt;=3000,G28&lt;&gt;"Yes"),3,0)+IF(J28="Yes",2,0)+IF(OR(D28="1 venue",D28="2-6 venues"),1,0)+IF(OR(B28="Specialty coffee",B28="Brunch / cafe",B28="Dessert / bakery"),1,0)+IF(AND(N(H28)&gt;=4.3,N(I28)&gt;=50),1,0)+IF(AND(OR(M28&lt;&gt;"",N28&lt;&gt;""),O28&lt;&gt;""),1,0))</f>
        <v/>
      </c>
      <c r="S28" s="13">
        <f>IF(R28="","",IF(R28&gt;=6,"A",IF(R28&gt;=4,"B","C")))</f>
        <v/>
      </c>
      <c r="T28" s="10" t="n"/>
      <c r="U28" s="14" t="n"/>
      <c r="V28" s="10" t="n"/>
      <c r="W28" s="10" t="n"/>
    </row>
    <row r="29">
      <c r="A29" s="10" t="n"/>
      <c r="B29" s="10" t="n"/>
      <c r="C29" s="10" t="n"/>
      <c r="D29" s="10" t="n"/>
      <c r="E29" s="10" t="n"/>
      <c r="F29" s="11" t="n"/>
      <c r="G29" s="10" t="n"/>
      <c r="H29" s="12" t="n"/>
      <c r="I29" s="11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3">
        <f>IF(A29="","",IF(AND(N(F29)&gt;=3000,G29&lt;&gt;"Yes"),3,0)+IF(J29="Yes",2,0)+IF(OR(D29="1 venue",D29="2-6 venues"),1,0)+IF(OR(B29="Specialty coffee",B29="Brunch / cafe",B29="Dessert / bakery"),1,0)+IF(AND(N(H29)&gt;=4.3,N(I29)&gt;=50),1,0)+IF(AND(OR(M29&lt;&gt;"",N29&lt;&gt;""),O29&lt;&gt;""),1,0))</f>
        <v/>
      </c>
      <c r="S29" s="13">
        <f>IF(R29="","",IF(R29&gt;=6,"A",IF(R29&gt;=4,"B","C")))</f>
        <v/>
      </c>
      <c r="T29" s="10" t="n"/>
      <c r="U29" s="14" t="n"/>
      <c r="V29" s="10" t="n"/>
      <c r="W29" s="10" t="n"/>
    </row>
    <row r="30">
      <c r="A30" s="10" t="n"/>
      <c r="B30" s="10" t="n"/>
      <c r="C30" s="10" t="n"/>
      <c r="D30" s="10" t="n"/>
      <c r="E30" s="10" t="n"/>
      <c r="F30" s="11" t="n"/>
      <c r="G30" s="10" t="n"/>
      <c r="H30" s="12" t="n"/>
      <c r="I30" s="11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3">
        <f>IF(A30="","",IF(AND(N(F30)&gt;=3000,G30&lt;&gt;"Yes"),3,0)+IF(J30="Yes",2,0)+IF(OR(D30="1 venue",D30="2-6 venues"),1,0)+IF(OR(B30="Specialty coffee",B30="Brunch / cafe",B30="Dessert / bakery"),1,0)+IF(AND(N(H30)&gt;=4.3,N(I30)&gt;=50),1,0)+IF(AND(OR(M30&lt;&gt;"",N30&lt;&gt;""),O30&lt;&gt;""),1,0))</f>
        <v/>
      </c>
      <c r="S30" s="13">
        <f>IF(R30="","",IF(R30&gt;=6,"A",IF(R30&gt;=4,"B","C")))</f>
        <v/>
      </c>
      <c r="T30" s="10" t="n"/>
      <c r="U30" s="14" t="n"/>
      <c r="V30" s="10" t="n"/>
      <c r="W30" s="10" t="n"/>
    </row>
    <row r="31">
      <c r="A31" s="10" t="n"/>
      <c r="B31" s="10" t="n"/>
      <c r="C31" s="10" t="n"/>
      <c r="D31" s="10" t="n"/>
      <c r="E31" s="10" t="n"/>
      <c r="F31" s="11" t="n"/>
      <c r="G31" s="10" t="n"/>
      <c r="H31" s="12" t="n"/>
      <c r="I31" s="11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3">
        <f>IF(A31="","",IF(AND(N(F31)&gt;=3000,G31&lt;&gt;"Yes"),3,0)+IF(J31="Yes",2,0)+IF(OR(D31="1 venue",D31="2-6 venues"),1,0)+IF(OR(B31="Specialty coffee",B31="Brunch / cafe",B31="Dessert / bakery"),1,0)+IF(AND(N(H31)&gt;=4.3,N(I31)&gt;=50),1,0)+IF(AND(OR(M31&lt;&gt;"",N31&lt;&gt;""),O31&lt;&gt;""),1,0))</f>
        <v/>
      </c>
      <c r="S31" s="13">
        <f>IF(R31="","",IF(R31&gt;=6,"A",IF(R31&gt;=4,"B","C")))</f>
        <v/>
      </c>
      <c r="T31" s="10" t="n"/>
      <c r="U31" s="14" t="n"/>
      <c r="V31" s="10" t="n"/>
      <c r="W31" s="10" t="n"/>
    </row>
    <row r="32">
      <c r="A32" s="10" t="n"/>
      <c r="B32" s="10" t="n"/>
      <c r="C32" s="10" t="n"/>
      <c r="D32" s="10" t="n"/>
      <c r="E32" s="10" t="n"/>
      <c r="F32" s="11" t="n"/>
      <c r="G32" s="10" t="n"/>
      <c r="H32" s="12" t="n"/>
      <c r="I32" s="11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3">
        <f>IF(A32="","",IF(AND(N(F32)&gt;=3000,G32&lt;&gt;"Yes"),3,0)+IF(J32="Yes",2,0)+IF(OR(D32="1 venue",D32="2-6 venues"),1,0)+IF(OR(B32="Specialty coffee",B32="Brunch / cafe",B32="Dessert / bakery"),1,0)+IF(AND(N(H32)&gt;=4.3,N(I32)&gt;=50),1,0)+IF(AND(OR(M32&lt;&gt;"",N32&lt;&gt;""),O32&lt;&gt;""),1,0))</f>
        <v/>
      </c>
      <c r="S32" s="13">
        <f>IF(R32="","",IF(R32&gt;=6,"A",IF(R32&gt;=4,"B","C")))</f>
        <v/>
      </c>
      <c r="T32" s="10" t="n"/>
      <c r="U32" s="14" t="n"/>
      <c r="V32" s="10" t="n"/>
      <c r="W32" s="10" t="n"/>
    </row>
    <row r="33">
      <c r="A33" s="10" t="n"/>
      <c r="B33" s="10" t="n"/>
      <c r="C33" s="10" t="n"/>
      <c r="D33" s="10" t="n"/>
      <c r="E33" s="10" t="n"/>
      <c r="F33" s="11" t="n"/>
      <c r="G33" s="10" t="n"/>
      <c r="H33" s="12" t="n"/>
      <c r="I33" s="11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3">
        <f>IF(A33="","",IF(AND(N(F33)&gt;=3000,G33&lt;&gt;"Yes"),3,0)+IF(J33="Yes",2,0)+IF(OR(D33="1 venue",D33="2-6 venues"),1,0)+IF(OR(B33="Specialty coffee",B33="Brunch / cafe",B33="Dessert / bakery"),1,0)+IF(AND(N(H33)&gt;=4.3,N(I33)&gt;=50),1,0)+IF(AND(OR(M33&lt;&gt;"",N33&lt;&gt;""),O33&lt;&gt;""),1,0))</f>
        <v/>
      </c>
      <c r="S33" s="13">
        <f>IF(R33="","",IF(R33&gt;=6,"A",IF(R33&gt;=4,"B","C")))</f>
        <v/>
      </c>
      <c r="T33" s="10" t="n"/>
      <c r="U33" s="14" t="n"/>
      <c r="V33" s="10" t="n"/>
      <c r="W33" s="10" t="n"/>
    </row>
    <row r="34">
      <c r="A34" s="10" t="n"/>
      <c r="B34" s="10" t="n"/>
      <c r="C34" s="10" t="n"/>
      <c r="D34" s="10" t="n"/>
      <c r="E34" s="10" t="n"/>
      <c r="F34" s="11" t="n"/>
      <c r="G34" s="10" t="n"/>
      <c r="H34" s="12" t="n"/>
      <c r="I34" s="11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3">
        <f>IF(A34="","",IF(AND(N(F34)&gt;=3000,G34&lt;&gt;"Yes"),3,0)+IF(J34="Yes",2,0)+IF(OR(D34="1 venue",D34="2-6 venues"),1,0)+IF(OR(B34="Specialty coffee",B34="Brunch / cafe",B34="Dessert / bakery"),1,0)+IF(AND(N(H34)&gt;=4.3,N(I34)&gt;=50),1,0)+IF(AND(OR(M34&lt;&gt;"",N34&lt;&gt;""),O34&lt;&gt;""),1,0))</f>
        <v/>
      </c>
      <c r="S34" s="13">
        <f>IF(R34="","",IF(R34&gt;=6,"A",IF(R34&gt;=4,"B","C")))</f>
        <v/>
      </c>
      <c r="T34" s="10" t="n"/>
      <c r="U34" s="14" t="n"/>
      <c r="V34" s="10" t="n"/>
      <c r="W34" s="10" t="n"/>
    </row>
    <row r="35">
      <c r="A35" s="10" t="n"/>
      <c r="B35" s="10" t="n"/>
      <c r="C35" s="10" t="n"/>
      <c r="D35" s="10" t="n"/>
      <c r="E35" s="10" t="n"/>
      <c r="F35" s="11" t="n"/>
      <c r="G35" s="10" t="n"/>
      <c r="H35" s="12" t="n"/>
      <c r="I35" s="11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3">
        <f>IF(A35="","",IF(AND(N(F35)&gt;=3000,G35&lt;&gt;"Yes"),3,0)+IF(J35="Yes",2,0)+IF(OR(D35="1 venue",D35="2-6 venues"),1,0)+IF(OR(B35="Specialty coffee",B35="Brunch / cafe",B35="Dessert / bakery"),1,0)+IF(AND(N(H35)&gt;=4.3,N(I35)&gt;=50),1,0)+IF(AND(OR(M35&lt;&gt;"",N35&lt;&gt;""),O35&lt;&gt;""),1,0))</f>
        <v/>
      </c>
      <c r="S35" s="13">
        <f>IF(R35="","",IF(R35&gt;=6,"A",IF(R35&gt;=4,"B","C")))</f>
        <v/>
      </c>
      <c r="T35" s="10" t="n"/>
      <c r="U35" s="14" t="n"/>
      <c r="V35" s="10" t="n"/>
      <c r="W35" s="10" t="n"/>
    </row>
    <row r="36">
      <c r="A36" s="10" t="n"/>
      <c r="B36" s="10" t="n"/>
      <c r="C36" s="10" t="n"/>
      <c r="D36" s="10" t="n"/>
      <c r="E36" s="10" t="n"/>
      <c r="F36" s="11" t="n"/>
      <c r="G36" s="10" t="n"/>
      <c r="H36" s="12" t="n"/>
      <c r="I36" s="11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3">
        <f>IF(A36="","",IF(AND(N(F36)&gt;=3000,G36&lt;&gt;"Yes"),3,0)+IF(J36="Yes",2,0)+IF(OR(D36="1 venue",D36="2-6 venues"),1,0)+IF(OR(B36="Specialty coffee",B36="Brunch / cafe",B36="Dessert / bakery"),1,0)+IF(AND(N(H36)&gt;=4.3,N(I36)&gt;=50),1,0)+IF(AND(OR(M36&lt;&gt;"",N36&lt;&gt;""),O36&lt;&gt;""),1,0))</f>
        <v/>
      </c>
      <c r="S36" s="13">
        <f>IF(R36="","",IF(R36&gt;=6,"A",IF(R36&gt;=4,"B","C")))</f>
        <v/>
      </c>
      <c r="T36" s="10" t="n"/>
      <c r="U36" s="14" t="n"/>
      <c r="V36" s="10" t="n"/>
      <c r="W36" s="10" t="n"/>
    </row>
    <row r="37">
      <c r="A37" s="10" t="n"/>
      <c r="B37" s="10" t="n"/>
      <c r="C37" s="10" t="n"/>
      <c r="D37" s="10" t="n"/>
      <c r="E37" s="10" t="n"/>
      <c r="F37" s="11" t="n"/>
      <c r="G37" s="10" t="n"/>
      <c r="H37" s="12" t="n"/>
      <c r="I37" s="11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3">
        <f>IF(A37="","",IF(AND(N(F37)&gt;=3000,G37&lt;&gt;"Yes"),3,0)+IF(J37="Yes",2,0)+IF(OR(D37="1 venue",D37="2-6 venues"),1,0)+IF(OR(B37="Specialty coffee",B37="Brunch / cafe",B37="Dessert / bakery"),1,0)+IF(AND(N(H37)&gt;=4.3,N(I37)&gt;=50),1,0)+IF(AND(OR(M37&lt;&gt;"",N37&lt;&gt;""),O37&lt;&gt;""),1,0))</f>
        <v/>
      </c>
      <c r="S37" s="13">
        <f>IF(R37="","",IF(R37&gt;=6,"A",IF(R37&gt;=4,"B","C")))</f>
        <v/>
      </c>
      <c r="T37" s="10" t="n"/>
      <c r="U37" s="14" t="n"/>
      <c r="V37" s="10" t="n"/>
      <c r="W37" s="10" t="n"/>
    </row>
    <row r="38">
      <c r="A38" s="10" t="n"/>
      <c r="B38" s="10" t="n"/>
      <c r="C38" s="10" t="n"/>
      <c r="D38" s="10" t="n"/>
      <c r="E38" s="10" t="n"/>
      <c r="F38" s="11" t="n"/>
      <c r="G38" s="10" t="n"/>
      <c r="H38" s="12" t="n"/>
      <c r="I38" s="11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3">
        <f>IF(A38="","",IF(AND(N(F38)&gt;=3000,G38&lt;&gt;"Yes"),3,0)+IF(J38="Yes",2,0)+IF(OR(D38="1 venue",D38="2-6 venues"),1,0)+IF(OR(B38="Specialty coffee",B38="Brunch / cafe",B38="Dessert / bakery"),1,0)+IF(AND(N(H38)&gt;=4.3,N(I38)&gt;=50),1,0)+IF(AND(OR(M38&lt;&gt;"",N38&lt;&gt;""),O38&lt;&gt;""),1,0))</f>
        <v/>
      </c>
      <c r="S38" s="13">
        <f>IF(R38="","",IF(R38&gt;=6,"A",IF(R38&gt;=4,"B","C")))</f>
        <v/>
      </c>
      <c r="T38" s="10" t="n"/>
      <c r="U38" s="14" t="n"/>
      <c r="V38" s="10" t="n"/>
      <c r="W38" s="10" t="n"/>
    </row>
    <row r="39">
      <c r="A39" s="10" t="n"/>
      <c r="B39" s="10" t="n"/>
      <c r="C39" s="10" t="n"/>
      <c r="D39" s="10" t="n"/>
      <c r="E39" s="10" t="n"/>
      <c r="F39" s="11" t="n"/>
      <c r="G39" s="10" t="n"/>
      <c r="H39" s="12" t="n"/>
      <c r="I39" s="11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3">
        <f>IF(A39="","",IF(AND(N(F39)&gt;=3000,G39&lt;&gt;"Yes"),3,0)+IF(J39="Yes",2,0)+IF(OR(D39="1 venue",D39="2-6 venues"),1,0)+IF(OR(B39="Specialty coffee",B39="Brunch / cafe",B39="Dessert / bakery"),1,0)+IF(AND(N(H39)&gt;=4.3,N(I39)&gt;=50),1,0)+IF(AND(OR(M39&lt;&gt;"",N39&lt;&gt;""),O39&lt;&gt;""),1,0))</f>
        <v/>
      </c>
      <c r="S39" s="13">
        <f>IF(R39="","",IF(R39&gt;=6,"A",IF(R39&gt;=4,"B","C")))</f>
        <v/>
      </c>
      <c r="T39" s="10" t="n"/>
      <c r="U39" s="14" t="n"/>
      <c r="V39" s="10" t="n"/>
      <c r="W39" s="10" t="n"/>
    </row>
    <row r="40">
      <c r="A40" s="10" t="n"/>
      <c r="B40" s="10" t="n"/>
      <c r="C40" s="10" t="n"/>
      <c r="D40" s="10" t="n"/>
      <c r="E40" s="10" t="n"/>
      <c r="F40" s="11" t="n"/>
      <c r="G40" s="10" t="n"/>
      <c r="H40" s="12" t="n"/>
      <c r="I40" s="11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3">
        <f>IF(A40="","",IF(AND(N(F40)&gt;=3000,G40&lt;&gt;"Yes"),3,0)+IF(J40="Yes",2,0)+IF(OR(D40="1 venue",D40="2-6 venues"),1,0)+IF(OR(B40="Specialty coffee",B40="Brunch / cafe",B40="Dessert / bakery"),1,0)+IF(AND(N(H40)&gt;=4.3,N(I40)&gt;=50),1,0)+IF(AND(OR(M40&lt;&gt;"",N40&lt;&gt;""),O40&lt;&gt;""),1,0))</f>
        <v/>
      </c>
      <c r="S40" s="13">
        <f>IF(R40="","",IF(R40&gt;=6,"A",IF(R40&gt;=4,"B","C")))</f>
        <v/>
      </c>
      <c r="T40" s="10" t="n"/>
      <c r="U40" s="14" t="n"/>
      <c r="V40" s="10" t="n"/>
      <c r="W40" s="10" t="n"/>
    </row>
    <row r="41">
      <c r="A41" s="10" t="n"/>
      <c r="B41" s="10" t="n"/>
      <c r="C41" s="10" t="n"/>
      <c r="D41" s="10" t="n"/>
      <c r="E41" s="10" t="n"/>
      <c r="F41" s="11" t="n"/>
      <c r="G41" s="10" t="n"/>
      <c r="H41" s="12" t="n"/>
      <c r="I41" s="11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3">
        <f>IF(A41="","",IF(AND(N(F41)&gt;=3000,G41&lt;&gt;"Yes"),3,0)+IF(J41="Yes",2,0)+IF(OR(D41="1 venue",D41="2-6 venues"),1,0)+IF(OR(B41="Specialty coffee",B41="Brunch / cafe",B41="Dessert / bakery"),1,0)+IF(AND(N(H41)&gt;=4.3,N(I41)&gt;=50),1,0)+IF(AND(OR(M41&lt;&gt;"",N41&lt;&gt;""),O41&lt;&gt;""),1,0))</f>
        <v/>
      </c>
      <c r="S41" s="13">
        <f>IF(R41="","",IF(R41&gt;=6,"A",IF(R41&gt;=4,"B","C")))</f>
        <v/>
      </c>
      <c r="T41" s="10" t="n"/>
      <c r="U41" s="14" t="n"/>
      <c r="V41" s="10" t="n"/>
      <c r="W41" s="10" t="n"/>
    </row>
    <row r="42">
      <c r="A42" s="10" t="n"/>
      <c r="B42" s="10" t="n"/>
      <c r="C42" s="10" t="n"/>
      <c r="D42" s="10" t="n"/>
      <c r="E42" s="10" t="n"/>
      <c r="F42" s="11" t="n"/>
      <c r="G42" s="10" t="n"/>
      <c r="H42" s="12" t="n"/>
      <c r="I42" s="11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3">
        <f>IF(A42="","",IF(AND(N(F42)&gt;=3000,G42&lt;&gt;"Yes"),3,0)+IF(J42="Yes",2,0)+IF(OR(D42="1 venue",D42="2-6 venues"),1,0)+IF(OR(B42="Specialty coffee",B42="Brunch / cafe",B42="Dessert / bakery"),1,0)+IF(AND(N(H42)&gt;=4.3,N(I42)&gt;=50),1,0)+IF(AND(OR(M42&lt;&gt;"",N42&lt;&gt;""),O42&lt;&gt;""),1,0))</f>
        <v/>
      </c>
      <c r="S42" s="13">
        <f>IF(R42="","",IF(R42&gt;=6,"A",IF(R42&gt;=4,"B","C")))</f>
        <v/>
      </c>
      <c r="T42" s="10" t="n"/>
      <c r="U42" s="14" t="n"/>
      <c r="V42" s="10" t="n"/>
      <c r="W42" s="10" t="n"/>
    </row>
    <row r="43">
      <c r="A43" s="10" t="n"/>
      <c r="B43" s="10" t="n"/>
      <c r="C43" s="10" t="n"/>
      <c r="D43" s="10" t="n"/>
      <c r="E43" s="10" t="n"/>
      <c r="F43" s="11" t="n"/>
      <c r="G43" s="10" t="n"/>
      <c r="H43" s="12" t="n"/>
      <c r="I43" s="11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3">
        <f>IF(A43="","",IF(AND(N(F43)&gt;=3000,G43&lt;&gt;"Yes"),3,0)+IF(J43="Yes",2,0)+IF(OR(D43="1 venue",D43="2-6 venues"),1,0)+IF(OR(B43="Specialty coffee",B43="Brunch / cafe",B43="Dessert / bakery"),1,0)+IF(AND(N(H43)&gt;=4.3,N(I43)&gt;=50),1,0)+IF(AND(OR(M43&lt;&gt;"",N43&lt;&gt;""),O43&lt;&gt;""),1,0))</f>
        <v/>
      </c>
      <c r="S43" s="13">
        <f>IF(R43="","",IF(R43&gt;=6,"A",IF(R43&gt;=4,"B","C")))</f>
        <v/>
      </c>
      <c r="T43" s="10" t="n"/>
      <c r="U43" s="14" t="n"/>
      <c r="V43" s="10" t="n"/>
      <c r="W43" s="10" t="n"/>
    </row>
    <row r="44">
      <c r="A44" s="10" t="n"/>
      <c r="B44" s="10" t="n"/>
      <c r="C44" s="10" t="n"/>
      <c r="D44" s="10" t="n"/>
      <c r="E44" s="10" t="n"/>
      <c r="F44" s="11" t="n"/>
      <c r="G44" s="10" t="n"/>
      <c r="H44" s="12" t="n"/>
      <c r="I44" s="11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3">
        <f>IF(A44="","",IF(AND(N(F44)&gt;=3000,G44&lt;&gt;"Yes"),3,0)+IF(J44="Yes",2,0)+IF(OR(D44="1 venue",D44="2-6 venues"),1,0)+IF(OR(B44="Specialty coffee",B44="Brunch / cafe",B44="Dessert / bakery"),1,0)+IF(AND(N(H44)&gt;=4.3,N(I44)&gt;=50),1,0)+IF(AND(OR(M44&lt;&gt;"",N44&lt;&gt;""),O44&lt;&gt;""),1,0))</f>
        <v/>
      </c>
      <c r="S44" s="13">
        <f>IF(R44="","",IF(R44&gt;=6,"A",IF(R44&gt;=4,"B","C")))</f>
        <v/>
      </c>
      <c r="T44" s="10" t="n"/>
      <c r="U44" s="14" t="n"/>
      <c r="V44" s="10" t="n"/>
      <c r="W44" s="10" t="n"/>
    </row>
    <row r="45">
      <c r="A45" s="10" t="n"/>
      <c r="B45" s="10" t="n"/>
      <c r="C45" s="10" t="n"/>
      <c r="D45" s="10" t="n"/>
      <c r="E45" s="10" t="n"/>
      <c r="F45" s="11" t="n"/>
      <c r="G45" s="10" t="n"/>
      <c r="H45" s="12" t="n"/>
      <c r="I45" s="11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3">
        <f>IF(A45="","",IF(AND(N(F45)&gt;=3000,G45&lt;&gt;"Yes"),3,0)+IF(J45="Yes",2,0)+IF(OR(D45="1 venue",D45="2-6 venues"),1,0)+IF(OR(B45="Specialty coffee",B45="Brunch / cafe",B45="Dessert / bakery"),1,0)+IF(AND(N(H45)&gt;=4.3,N(I45)&gt;=50),1,0)+IF(AND(OR(M45&lt;&gt;"",N45&lt;&gt;""),O45&lt;&gt;""),1,0))</f>
        <v/>
      </c>
      <c r="S45" s="13">
        <f>IF(R45="","",IF(R45&gt;=6,"A",IF(R45&gt;=4,"B","C")))</f>
        <v/>
      </c>
      <c r="T45" s="10" t="n"/>
      <c r="U45" s="14" t="n"/>
      <c r="V45" s="10" t="n"/>
      <c r="W45" s="10" t="n"/>
    </row>
    <row r="46">
      <c r="A46" s="10" t="n"/>
      <c r="B46" s="10" t="n"/>
      <c r="C46" s="10" t="n"/>
      <c r="D46" s="10" t="n"/>
      <c r="E46" s="10" t="n"/>
      <c r="F46" s="11" t="n"/>
      <c r="G46" s="10" t="n"/>
      <c r="H46" s="12" t="n"/>
      <c r="I46" s="11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3">
        <f>IF(A46="","",IF(AND(N(F46)&gt;=3000,G46&lt;&gt;"Yes"),3,0)+IF(J46="Yes",2,0)+IF(OR(D46="1 venue",D46="2-6 venues"),1,0)+IF(OR(B46="Specialty coffee",B46="Brunch / cafe",B46="Dessert / bakery"),1,0)+IF(AND(N(H46)&gt;=4.3,N(I46)&gt;=50),1,0)+IF(AND(OR(M46&lt;&gt;"",N46&lt;&gt;""),O46&lt;&gt;""),1,0))</f>
        <v/>
      </c>
      <c r="S46" s="13">
        <f>IF(R46="","",IF(R46&gt;=6,"A",IF(R46&gt;=4,"B","C")))</f>
        <v/>
      </c>
      <c r="T46" s="10" t="n"/>
      <c r="U46" s="14" t="n"/>
      <c r="V46" s="10" t="n"/>
      <c r="W46" s="10" t="n"/>
    </row>
    <row r="47">
      <c r="A47" s="10" t="n"/>
      <c r="B47" s="10" t="n"/>
      <c r="C47" s="10" t="n"/>
      <c r="D47" s="10" t="n"/>
      <c r="E47" s="10" t="n"/>
      <c r="F47" s="11" t="n"/>
      <c r="G47" s="10" t="n"/>
      <c r="H47" s="12" t="n"/>
      <c r="I47" s="11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3">
        <f>IF(A47="","",IF(AND(N(F47)&gt;=3000,G47&lt;&gt;"Yes"),3,0)+IF(J47="Yes",2,0)+IF(OR(D47="1 venue",D47="2-6 venues"),1,0)+IF(OR(B47="Specialty coffee",B47="Brunch / cafe",B47="Dessert / bakery"),1,0)+IF(AND(N(H47)&gt;=4.3,N(I47)&gt;=50),1,0)+IF(AND(OR(M47&lt;&gt;"",N47&lt;&gt;""),O47&lt;&gt;""),1,0))</f>
        <v/>
      </c>
      <c r="S47" s="13">
        <f>IF(R47="","",IF(R47&gt;=6,"A",IF(R47&gt;=4,"B","C")))</f>
        <v/>
      </c>
      <c r="T47" s="10" t="n"/>
      <c r="U47" s="14" t="n"/>
      <c r="V47" s="10" t="n"/>
      <c r="W47" s="10" t="n"/>
    </row>
    <row r="48">
      <c r="A48" s="10" t="n"/>
      <c r="B48" s="10" t="n"/>
      <c r="C48" s="10" t="n"/>
      <c r="D48" s="10" t="n"/>
      <c r="E48" s="10" t="n"/>
      <c r="F48" s="11" t="n"/>
      <c r="G48" s="10" t="n"/>
      <c r="H48" s="12" t="n"/>
      <c r="I48" s="11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3">
        <f>IF(A48="","",IF(AND(N(F48)&gt;=3000,G48&lt;&gt;"Yes"),3,0)+IF(J48="Yes",2,0)+IF(OR(D48="1 venue",D48="2-6 venues"),1,0)+IF(OR(B48="Specialty coffee",B48="Brunch / cafe",B48="Dessert / bakery"),1,0)+IF(AND(N(H48)&gt;=4.3,N(I48)&gt;=50),1,0)+IF(AND(OR(M48&lt;&gt;"",N48&lt;&gt;""),O48&lt;&gt;""),1,0))</f>
        <v/>
      </c>
      <c r="S48" s="13">
        <f>IF(R48="","",IF(R48&gt;=6,"A",IF(R48&gt;=4,"B","C")))</f>
        <v/>
      </c>
      <c r="T48" s="10" t="n"/>
      <c r="U48" s="14" t="n"/>
      <c r="V48" s="10" t="n"/>
      <c r="W48" s="10" t="n"/>
    </row>
    <row r="49">
      <c r="A49" s="10" t="n"/>
      <c r="B49" s="10" t="n"/>
      <c r="C49" s="10" t="n"/>
      <c r="D49" s="10" t="n"/>
      <c r="E49" s="10" t="n"/>
      <c r="F49" s="11" t="n"/>
      <c r="G49" s="10" t="n"/>
      <c r="H49" s="12" t="n"/>
      <c r="I49" s="11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3">
        <f>IF(A49="","",IF(AND(N(F49)&gt;=3000,G49&lt;&gt;"Yes"),3,0)+IF(J49="Yes",2,0)+IF(OR(D49="1 venue",D49="2-6 venues"),1,0)+IF(OR(B49="Specialty coffee",B49="Brunch / cafe",B49="Dessert / bakery"),1,0)+IF(AND(N(H49)&gt;=4.3,N(I49)&gt;=50),1,0)+IF(AND(OR(M49&lt;&gt;"",N49&lt;&gt;""),O49&lt;&gt;""),1,0))</f>
        <v/>
      </c>
      <c r="S49" s="13">
        <f>IF(R49="","",IF(R49&gt;=6,"A",IF(R49&gt;=4,"B","C")))</f>
        <v/>
      </c>
      <c r="T49" s="10" t="n"/>
      <c r="U49" s="14" t="n"/>
      <c r="V49" s="10" t="n"/>
      <c r="W49" s="10" t="n"/>
    </row>
    <row r="50">
      <c r="A50" s="10" t="n"/>
      <c r="B50" s="10" t="n"/>
      <c r="C50" s="10" t="n"/>
      <c r="D50" s="10" t="n"/>
      <c r="E50" s="10" t="n"/>
      <c r="F50" s="11" t="n"/>
      <c r="G50" s="10" t="n"/>
      <c r="H50" s="12" t="n"/>
      <c r="I50" s="11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3">
        <f>IF(A50="","",IF(AND(N(F50)&gt;=3000,G50&lt;&gt;"Yes"),3,0)+IF(J50="Yes",2,0)+IF(OR(D50="1 venue",D50="2-6 venues"),1,0)+IF(OR(B50="Specialty coffee",B50="Brunch / cafe",B50="Dessert / bakery"),1,0)+IF(AND(N(H50)&gt;=4.3,N(I50)&gt;=50),1,0)+IF(AND(OR(M50&lt;&gt;"",N50&lt;&gt;""),O50&lt;&gt;""),1,0))</f>
        <v/>
      </c>
      <c r="S50" s="13">
        <f>IF(R50="","",IF(R50&gt;=6,"A",IF(R50&gt;=4,"B","C")))</f>
        <v/>
      </c>
      <c r="T50" s="10" t="n"/>
      <c r="U50" s="14" t="n"/>
      <c r="V50" s="10" t="n"/>
      <c r="W50" s="10" t="n"/>
    </row>
    <row r="51">
      <c r="A51" s="10" t="n"/>
      <c r="B51" s="10" t="n"/>
      <c r="C51" s="10" t="n"/>
      <c r="D51" s="10" t="n"/>
      <c r="E51" s="10" t="n"/>
      <c r="F51" s="11" t="n"/>
      <c r="G51" s="10" t="n"/>
      <c r="H51" s="12" t="n"/>
      <c r="I51" s="11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3">
        <f>IF(A51="","",IF(AND(N(F51)&gt;=3000,G51&lt;&gt;"Yes"),3,0)+IF(J51="Yes",2,0)+IF(OR(D51="1 venue",D51="2-6 venues"),1,0)+IF(OR(B51="Specialty coffee",B51="Brunch / cafe",B51="Dessert / bakery"),1,0)+IF(AND(N(H51)&gt;=4.3,N(I51)&gt;=50),1,0)+IF(AND(OR(M51&lt;&gt;"",N51&lt;&gt;""),O51&lt;&gt;""),1,0))</f>
        <v/>
      </c>
      <c r="S51" s="13">
        <f>IF(R51="","",IF(R51&gt;=6,"A",IF(R51&gt;=4,"B","C")))</f>
        <v/>
      </c>
      <c r="T51" s="10" t="n"/>
      <c r="U51" s="14" t="n"/>
      <c r="V51" s="10" t="n"/>
      <c r="W51" s="10" t="n"/>
    </row>
    <row r="52">
      <c r="A52" s="10" t="n"/>
      <c r="B52" s="10" t="n"/>
      <c r="C52" s="10" t="n"/>
      <c r="D52" s="10" t="n"/>
      <c r="E52" s="10" t="n"/>
      <c r="F52" s="11" t="n"/>
      <c r="G52" s="10" t="n"/>
      <c r="H52" s="12" t="n"/>
      <c r="I52" s="11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3">
        <f>IF(A52="","",IF(AND(N(F52)&gt;=3000,G52&lt;&gt;"Yes"),3,0)+IF(J52="Yes",2,0)+IF(OR(D52="1 venue",D52="2-6 venues"),1,0)+IF(OR(B52="Specialty coffee",B52="Brunch / cafe",B52="Dessert / bakery"),1,0)+IF(AND(N(H52)&gt;=4.3,N(I52)&gt;=50),1,0)+IF(AND(OR(M52&lt;&gt;"",N52&lt;&gt;""),O52&lt;&gt;""),1,0))</f>
        <v/>
      </c>
      <c r="S52" s="13">
        <f>IF(R52="","",IF(R52&gt;=6,"A",IF(R52&gt;=4,"B","C")))</f>
        <v/>
      </c>
      <c r="T52" s="10" t="n"/>
      <c r="U52" s="14" t="n"/>
      <c r="V52" s="10" t="n"/>
      <c r="W52" s="10" t="n"/>
    </row>
    <row r="53">
      <c r="A53" s="10" t="n"/>
      <c r="B53" s="10" t="n"/>
      <c r="C53" s="10" t="n"/>
      <c r="D53" s="10" t="n"/>
      <c r="E53" s="10" t="n"/>
      <c r="F53" s="11" t="n"/>
      <c r="G53" s="10" t="n"/>
      <c r="H53" s="12" t="n"/>
      <c r="I53" s="11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3">
        <f>IF(A53="","",IF(AND(N(F53)&gt;=3000,G53&lt;&gt;"Yes"),3,0)+IF(J53="Yes",2,0)+IF(OR(D53="1 venue",D53="2-6 venues"),1,0)+IF(OR(B53="Specialty coffee",B53="Brunch / cafe",B53="Dessert / bakery"),1,0)+IF(AND(N(H53)&gt;=4.3,N(I53)&gt;=50),1,0)+IF(AND(OR(M53&lt;&gt;"",N53&lt;&gt;""),O53&lt;&gt;""),1,0))</f>
        <v/>
      </c>
      <c r="S53" s="13">
        <f>IF(R53="","",IF(R53&gt;=6,"A",IF(R53&gt;=4,"B","C")))</f>
        <v/>
      </c>
      <c r="T53" s="10" t="n"/>
      <c r="U53" s="14" t="n"/>
      <c r="V53" s="10" t="n"/>
      <c r="W53" s="10" t="n"/>
    </row>
    <row r="54">
      <c r="A54" s="10" t="n"/>
      <c r="B54" s="10" t="n"/>
      <c r="C54" s="10" t="n"/>
      <c r="D54" s="10" t="n"/>
      <c r="E54" s="10" t="n"/>
      <c r="F54" s="11" t="n"/>
      <c r="G54" s="10" t="n"/>
      <c r="H54" s="12" t="n"/>
      <c r="I54" s="11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3">
        <f>IF(A54="","",IF(AND(N(F54)&gt;=3000,G54&lt;&gt;"Yes"),3,0)+IF(J54="Yes",2,0)+IF(OR(D54="1 venue",D54="2-6 venues"),1,0)+IF(OR(B54="Specialty coffee",B54="Brunch / cafe",B54="Dessert / bakery"),1,0)+IF(AND(N(H54)&gt;=4.3,N(I54)&gt;=50),1,0)+IF(AND(OR(M54&lt;&gt;"",N54&lt;&gt;""),O54&lt;&gt;""),1,0))</f>
        <v/>
      </c>
      <c r="S54" s="13">
        <f>IF(R54="","",IF(R54&gt;=6,"A",IF(R54&gt;=4,"B","C")))</f>
        <v/>
      </c>
      <c r="T54" s="10" t="n"/>
      <c r="U54" s="14" t="n"/>
      <c r="V54" s="10" t="n"/>
      <c r="W54" s="10" t="n"/>
    </row>
    <row r="55">
      <c r="A55" s="10" t="n"/>
      <c r="B55" s="10" t="n"/>
      <c r="C55" s="10" t="n"/>
      <c r="D55" s="10" t="n"/>
      <c r="E55" s="10" t="n"/>
      <c r="F55" s="11" t="n"/>
      <c r="G55" s="10" t="n"/>
      <c r="H55" s="12" t="n"/>
      <c r="I55" s="11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3">
        <f>IF(A55="","",IF(AND(N(F55)&gt;=3000,G55&lt;&gt;"Yes"),3,0)+IF(J55="Yes",2,0)+IF(OR(D55="1 venue",D55="2-6 venues"),1,0)+IF(OR(B55="Specialty coffee",B55="Brunch / cafe",B55="Dessert / bakery"),1,0)+IF(AND(N(H55)&gt;=4.3,N(I55)&gt;=50),1,0)+IF(AND(OR(M55&lt;&gt;"",N55&lt;&gt;""),O55&lt;&gt;""),1,0))</f>
        <v/>
      </c>
      <c r="S55" s="13">
        <f>IF(R55="","",IF(R55&gt;=6,"A",IF(R55&gt;=4,"B","C")))</f>
        <v/>
      </c>
      <c r="T55" s="10" t="n"/>
      <c r="U55" s="14" t="n"/>
      <c r="V55" s="10" t="n"/>
      <c r="W55" s="10" t="n"/>
    </row>
    <row r="56">
      <c r="A56" s="10" t="n"/>
      <c r="B56" s="10" t="n"/>
      <c r="C56" s="10" t="n"/>
      <c r="D56" s="10" t="n"/>
      <c r="E56" s="10" t="n"/>
      <c r="F56" s="11" t="n"/>
      <c r="G56" s="10" t="n"/>
      <c r="H56" s="12" t="n"/>
      <c r="I56" s="11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3">
        <f>IF(A56="","",IF(AND(N(F56)&gt;=3000,G56&lt;&gt;"Yes"),3,0)+IF(J56="Yes",2,0)+IF(OR(D56="1 venue",D56="2-6 venues"),1,0)+IF(OR(B56="Specialty coffee",B56="Brunch / cafe",B56="Dessert / bakery"),1,0)+IF(AND(N(H56)&gt;=4.3,N(I56)&gt;=50),1,0)+IF(AND(OR(M56&lt;&gt;"",N56&lt;&gt;""),O56&lt;&gt;""),1,0))</f>
        <v/>
      </c>
      <c r="S56" s="13">
        <f>IF(R56="","",IF(R56&gt;=6,"A",IF(R56&gt;=4,"B","C")))</f>
        <v/>
      </c>
      <c r="T56" s="10" t="n"/>
      <c r="U56" s="14" t="n"/>
      <c r="V56" s="10" t="n"/>
      <c r="W56" s="10" t="n"/>
    </row>
    <row r="57">
      <c r="A57" s="10" t="n"/>
      <c r="B57" s="10" t="n"/>
      <c r="C57" s="10" t="n"/>
      <c r="D57" s="10" t="n"/>
      <c r="E57" s="10" t="n"/>
      <c r="F57" s="11" t="n"/>
      <c r="G57" s="10" t="n"/>
      <c r="H57" s="12" t="n"/>
      <c r="I57" s="11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3">
        <f>IF(A57="","",IF(AND(N(F57)&gt;=3000,G57&lt;&gt;"Yes"),3,0)+IF(J57="Yes",2,0)+IF(OR(D57="1 venue",D57="2-6 venues"),1,0)+IF(OR(B57="Specialty coffee",B57="Brunch / cafe",B57="Dessert / bakery"),1,0)+IF(AND(N(H57)&gt;=4.3,N(I57)&gt;=50),1,0)+IF(AND(OR(M57&lt;&gt;"",N57&lt;&gt;""),O57&lt;&gt;""),1,0))</f>
        <v/>
      </c>
      <c r="S57" s="13">
        <f>IF(R57="","",IF(R57&gt;=6,"A",IF(R57&gt;=4,"B","C")))</f>
        <v/>
      </c>
      <c r="T57" s="10" t="n"/>
      <c r="U57" s="14" t="n"/>
      <c r="V57" s="10" t="n"/>
      <c r="W57" s="10" t="n"/>
    </row>
    <row r="58">
      <c r="A58" s="10" t="n"/>
      <c r="B58" s="10" t="n"/>
      <c r="C58" s="10" t="n"/>
      <c r="D58" s="10" t="n"/>
      <c r="E58" s="10" t="n"/>
      <c r="F58" s="11" t="n"/>
      <c r="G58" s="10" t="n"/>
      <c r="H58" s="12" t="n"/>
      <c r="I58" s="11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3">
        <f>IF(A58="","",IF(AND(N(F58)&gt;=3000,G58&lt;&gt;"Yes"),3,0)+IF(J58="Yes",2,0)+IF(OR(D58="1 venue",D58="2-6 venues"),1,0)+IF(OR(B58="Specialty coffee",B58="Brunch / cafe",B58="Dessert / bakery"),1,0)+IF(AND(N(H58)&gt;=4.3,N(I58)&gt;=50),1,0)+IF(AND(OR(M58&lt;&gt;"",N58&lt;&gt;""),O58&lt;&gt;""),1,0))</f>
        <v/>
      </c>
      <c r="S58" s="13">
        <f>IF(R58="","",IF(R58&gt;=6,"A",IF(R58&gt;=4,"B","C")))</f>
        <v/>
      </c>
      <c r="T58" s="10" t="n"/>
      <c r="U58" s="14" t="n"/>
      <c r="V58" s="10" t="n"/>
      <c r="W58" s="10" t="n"/>
    </row>
    <row r="59">
      <c r="A59" s="10" t="n"/>
      <c r="B59" s="10" t="n"/>
      <c r="C59" s="10" t="n"/>
      <c r="D59" s="10" t="n"/>
      <c r="E59" s="10" t="n"/>
      <c r="F59" s="11" t="n"/>
      <c r="G59" s="10" t="n"/>
      <c r="H59" s="12" t="n"/>
      <c r="I59" s="11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3">
        <f>IF(A59="","",IF(AND(N(F59)&gt;=3000,G59&lt;&gt;"Yes"),3,0)+IF(J59="Yes",2,0)+IF(OR(D59="1 venue",D59="2-6 venues"),1,0)+IF(OR(B59="Specialty coffee",B59="Brunch / cafe",B59="Dessert / bakery"),1,0)+IF(AND(N(H59)&gt;=4.3,N(I59)&gt;=50),1,0)+IF(AND(OR(M59&lt;&gt;"",N59&lt;&gt;""),O59&lt;&gt;""),1,0))</f>
        <v/>
      </c>
      <c r="S59" s="13">
        <f>IF(R59="","",IF(R59&gt;=6,"A",IF(R59&gt;=4,"B","C")))</f>
        <v/>
      </c>
      <c r="T59" s="10" t="n"/>
      <c r="U59" s="14" t="n"/>
      <c r="V59" s="10" t="n"/>
      <c r="W59" s="10" t="n"/>
    </row>
    <row r="60">
      <c r="A60" s="10" t="n"/>
      <c r="B60" s="10" t="n"/>
      <c r="C60" s="10" t="n"/>
      <c r="D60" s="10" t="n"/>
      <c r="E60" s="10" t="n"/>
      <c r="F60" s="11" t="n"/>
      <c r="G60" s="10" t="n"/>
      <c r="H60" s="12" t="n"/>
      <c r="I60" s="11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3">
        <f>IF(A60="","",IF(AND(N(F60)&gt;=3000,G60&lt;&gt;"Yes"),3,0)+IF(J60="Yes",2,0)+IF(OR(D60="1 venue",D60="2-6 venues"),1,0)+IF(OR(B60="Specialty coffee",B60="Brunch / cafe",B60="Dessert / bakery"),1,0)+IF(AND(N(H60)&gt;=4.3,N(I60)&gt;=50),1,0)+IF(AND(OR(M60&lt;&gt;"",N60&lt;&gt;""),O60&lt;&gt;""),1,0))</f>
        <v/>
      </c>
      <c r="S60" s="13">
        <f>IF(R60="","",IF(R60&gt;=6,"A",IF(R60&gt;=4,"B","C")))</f>
        <v/>
      </c>
      <c r="T60" s="10" t="n"/>
      <c r="U60" s="14" t="n"/>
      <c r="V60" s="10" t="n"/>
      <c r="W60" s="10" t="n"/>
    </row>
    <row r="61">
      <c r="A61" s="10" t="n"/>
      <c r="B61" s="10" t="n"/>
      <c r="C61" s="10" t="n"/>
      <c r="D61" s="10" t="n"/>
      <c r="E61" s="10" t="n"/>
      <c r="F61" s="11" t="n"/>
      <c r="G61" s="10" t="n"/>
      <c r="H61" s="12" t="n"/>
      <c r="I61" s="11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3">
        <f>IF(A61="","",IF(AND(N(F61)&gt;=3000,G61&lt;&gt;"Yes"),3,0)+IF(J61="Yes",2,0)+IF(OR(D61="1 venue",D61="2-6 venues"),1,0)+IF(OR(B61="Specialty coffee",B61="Brunch / cafe",B61="Dessert / bakery"),1,0)+IF(AND(N(H61)&gt;=4.3,N(I61)&gt;=50),1,0)+IF(AND(OR(M61&lt;&gt;"",N61&lt;&gt;""),O61&lt;&gt;""),1,0))</f>
        <v/>
      </c>
      <c r="S61" s="13">
        <f>IF(R61="","",IF(R61&gt;=6,"A",IF(R61&gt;=4,"B","C")))</f>
        <v/>
      </c>
      <c r="T61" s="10" t="n"/>
      <c r="U61" s="14" t="n"/>
      <c r="V61" s="10" t="n"/>
      <c r="W61" s="10" t="n"/>
    </row>
    <row r="62">
      <c r="A62" s="10" t="n"/>
      <c r="B62" s="10" t="n"/>
      <c r="C62" s="10" t="n"/>
      <c r="D62" s="10" t="n"/>
      <c r="E62" s="10" t="n"/>
      <c r="F62" s="11" t="n"/>
      <c r="G62" s="10" t="n"/>
      <c r="H62" s="12" t="n"/>
      <c r="I62" s="11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3">
        <f>IF(A62="","",IF(AND(N(F62)&gt;=3000,G62&lt;&gt;"Yes"),3,0)+IF(J62="Yes",2,0)+IF(OR(D62="1 venue",D62="2-6 venues"),1,0)+IF(OR(B62="Specialty coffee",B62="Brunch / cafe",B62="Dessert / bakery"),1,0)+IF(AND(N(H62)&gt;=4.3,N(I62)&gt;=50),1,0)+IF(AND(OR(M62&lt;&gt;"",N62&lt;&gt;""),O62&lt;&gt;""),1,0))</f>
        <v/>
      </c>
      <c r="S62" s="13">
        <f>IF(R62="","",IF(R62&gt;=6,"A",IF(R62&gt;=4,"B","C")))</f>
        <v/>
      </c>
      <c r="T62" s="10" t="n"/>
      <c r="U62" s="14" t="n"/>
      <c r="V62" s="10" t="n"/>
      <c r="W62" s="10" t="n"/>
    </row>
    <row r="63">
      <c r="A63" s="10" t="n"/>
      <c r="B63" s="10" t="n"/>
      <c r="C63" s="10" t="n"/>
      <c r="D63" s="10" t="n"/>
      <c r="E63" s="10" t="n"/>
      <c r="F63" s="11" t="n"/>
      <c r="G63" s="10" t="n"/>
      <c r="H63" s="12" t="n"/>
      <c r="I63" s="11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3">
        <f>IF(A63="","",IF(AND(N(F63)&gt;=3000,G63&lt;&gt;"Yes"),3,0)+IF(J63="Yes",2,0)+IF(OR(D63="1 venue",D63="2-6 venues"),1,0)+IF(OR(B63="Specialty coffee",B63="Brunch / cafe",B63="Dessert / bakery"),1,0)+IF(AND(N(H63)&gt;=4.3,N(I63)&gt;=50),1,0)+IF(AND(OR(M63&lt;&gt;"",N63&lt;&gt;""),O63&lt;&gt;""),1,0))</f>
        <v/>
      </c>
      <c r="S63" s="13">
        <f>IF(R63="","",IF(R63&gt;=6,"A",IF(R63&gt;=4,"B","C")))</f>
        <v/>
      </c>
      <c r="T63" s="10" t="n"/>
      <c r="U63" s="14" t="n"/>
      <c r="V63" s="10" t="n"/>
      <c r="W63" s="10" t="n"/>
    </row>
    <row r="64">
      <c r="A64" s="10" t="n"/>
      <c r="B64" s="10" t="n"/>
      <c r="C64" s="10" t="n"/>
      <c r="D64" s="10" t="n"/>
      <c r="E64" s="10" t="n"/>
      <c r="F64" s="11" t="n"/>
      <c r="G64" s="10" t="n"/>
      <c r="H64" s="12" t="n"/>
      <c r="I64" s="11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3">
        <f>IF(A64="","",IF(AND(N(F64)&gt;=3000,G64&lt;&gt;"Yes"),3,0)+IF(J64="Yes",2,0)+IF(OR(D64="1 venue",D64="2-6 venues"),1,0)+IF(OR(B64="Specialty coffee",B64="Brunch / cafe",B64="Dessert / bakery"),1,0)+IF(AND(N(H64)&gt;=4.3,N(I64)&gt;=50),1,0)+IF(AND(OR(M64&lt;&gt;"",N64&lt;&gt;""),O64&lt;&gt;""),1,0))</f>
        <v/>
      </c>
      <c r="S64" s="13">
        <f>IF(R64="","",IF(R64&gt;=6,"A",IF(R64&gt;=4,"B","C")))</f>
        <v/>
      </c>
      <c r="T64" s="10" t="n"/>
      <c r="U64" s="14" t="n"/>
      <c r="V64" s="10" t="n"/>
      <c r="W64" s="10" t="n"/>
    </row>
    <row r="65">
      <c r="A65" s="10" t="n"/>
      <c r="B65" s="10" t="n"/>
      <c r="C65" s="10" t="n"/>
      <c r="D65" s="10" t="n"/>
      <c r="E65" s="10" t="n"/>
      <c r="F65" s="11" t="n"/>
      <c r="G65" s="10" t="n"/>
      <c r="H65" s="12" t="n"/>
      <c r="I65" s="11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3">
        <f>IF(A65="","",IF(AND(N(F65)&gt;=3000,G65&lt;&gt;"Yes"),3,0)+IF(J65="Yes",2,0)+IF(OR(D65="1 venue",D65="2-6 venues"),1,0)+IF(OR(B65="Specialty coffee",B65="Brunch / cafe",B65="Dessert / bakery"),1,0)+IF(AND(N(H65)&gt;=4.3,N(I65)&gt;=50),1,0)+IF(AND(OR(M65&lt;&gt;"",N65&lt;&gt;""),O65&lt;&gt;""),1,0))</f>
        <v/>
      </c>
      <c r="S65" s="13">
        <f>IF(R65="","",IF(R65&gt;=6,"A",IF(R65&gt;=4,"B","C")))</f>
        <v/>
      </c>
      <c r="T65" s="10" t="n"/>
      <c r="U65" s="14" t="n"/>
      <c r="V65" s="10" t="n"/>
      <c r="W65" s="10" t="n"/>
    </row>
    <row r="66">
      <c r="A66" s="10" t="n"/>
      <c r="B66" s="10" t="n"/>
      <c r="C66" s="10" t="n"/>
      <c r="D66" s="10" t="n"/>
      <c r="E66" s="10" t="n"/>
      <c r="F66" s="11" t="n"/>
      <c r="G66" s="10" t="n"/>
      <c r="H66" s="12" t="n"/>
      <c r="I66" s="11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3">
        <f>IF(A66="","",IF(AND(N(F66)&gt;=3000,G66&lt;&gt;"Yes"),3,0)+IF(J66="Yes",2,0)+IF(OR(D66="1 venue",D66="2-6 venues"),1,0)+IF(OR(B66="Specialty coffee",B66="Brunch / cafe",B66="Dessert / bakery"),1,0)+IF(AND(N(H66)&gt;=4.3,N(I66)&gt;=50),1,0)+IF(AND(OR(M66&lt;&gt;"",N66&lt;&gt;""),O66&lt;&gt;""),1,0))</f>
        <v/>
      </c>
      <c r="S66" s="13">
        <f>IF(R66="","",IF(R66&gt;=6,"A",IF(R66&gt;=4,"B","C")))</f>
        <v/>
      </c>
      <c r="T66" s="10" t="n"/>
      <c r="U66" s="14" t="n"/>
      <c r="V66" s="10" t="n"/>
      <c r="W66" s="10" t="n"/>
    </row>
    <row r="67">
      <c r="A67" s="10" t="n"/>
      <c r="B67" s="10" t="n"/>
      <c r="C67" s="10" t="n"/>
      <c r="D67" s="10" t="n"/>
      <c r="E67" s="10" t="n"/>
      <c r="F67" s="11" t="n"/>
      <c r="G67" s="10" t="n"/>
      <c r="H67" s="12" t="n"/>
      <c r="I67" s="11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3">
        <f>IF(A67="","",IF(AND(N(F67)&gt;=3000,G67&lt;&gt;"Yes"),3,0)+IF(J67="Yes",2,0)+IF(OR(D67="1 venue",D67="2-6 venues"),1,0)+IF(OR(B67="Specialty coffee",B67="Brunch / cafe",B67="Dessert / bakery"),1,0)+IF(AND(N(H67)&gt;=4.3,N(I67)&gt;=50),1,0)+IF(AND(OR(M67&lt;&gt;"",N67&lt;&gt;""),O67&lt;&gt;""),1,0))</f>
        <v/>
      </c>
      <c r="S67" s="13">
        <f>IF(R67="","",IF(R67&gt;=6,"A",IF(R67&gt;=4,"B","C")))</f>
        <v/>
      </c>
      <c r="T67" s="10" t="n"/>
      <c r="U67" s="14" t="n"/>
      <c r="V67" s="10" t="n"/>
      <c r="W67" s="10" t="n"/>
    </row>
    <row r="68">
      <c r="A68" s="10" t="n"/>
      <c r="B68" s="10" t="n"/>
      <c r="C68" s="10" t="n"/>
      <c r="D68" s="10" t="n"/>
      <c r="E68" s="10" t="n"/>
      <c r="F68" s="11" t="n"/>
      <c r="G68" s="10" t="n"/>
      <c r="H68" s="12" t="n"/>
      <c r="I68" s="11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3">
        <f>IF(A68="","",IF(AND(N(F68)&gt;=3000,G68&lt;&gt;"Yes"),3,0)+IF(J68="Yes",2,0)+IF(OR(D68="1 venue",D68="2-6 venues"),1,0)+IF(OR(B68="Specialty coffee",B68="Brunch / cafe",B68="Dessert / bakery"),1,0)+IF(AND(N(H68)&gt;=4.3,N(I68)&gt;=50),1,0)+IF(AND(OR(M68&lt;&gt;"",N68&lt;&gt;""),O68&lt;&gt;""),1,0))</f>
        <v/>
      </c>
      <c r="S68" s="13">
        <f>IF(R68="","",IF(R68&gt;=6,"A",IF(R68&gt;=4,"B","C")))</f>
        <v/>
      </c>
      <c r="T68" s="10" t="n"/>
      <c r="U68" s="14" t="n"/>
      <c r="V68" s="10" t="n"/>
      <c r="W68" s="10" t="n"/>
    </row>
    <row r="69">
      <c r="A69" s="10" t="n"/>
      <c r="B69" s="10" t="n"/>
      <c r="C69" s="10" t="n"/>
      <c r="D69" s="10" t="n"/>
      <c r="E69" s="10" t="n"/>
      <c r="F69" s="11" t="n"/>
      <c r="G69" s="10" t="n"/>
      <c r="H69" s="12" t="n"/>
      <c r="I69" s="11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3">
        <f>IF(A69="","",IF(AND(N(F69)&gt;=3000,G69&lt;&gt;"Yes"),3,0)+IF(J69="Yes",2,0)+IF(OR(D69="1 venue",D69="2-6 venues"),1,0)+IF(OR(B69="Specialty coffee",B69="Brunch / cafe",B69="Dessert / bakery"),1,0)+IF(AND(N(H69)&gt;=4.3,N(I69)&gt;=50),1,0)+IF(AND(OR(M69&lt;&gt;"",N69&lt;&gt;""),O69&lt;&gt;""),1,0))</f>
        <v/>
      </c>
      <c r="S69" s="13">
        <f>IF(R69="","",IF(R69&gt;=6,"A",IF(R69&gt;=4,"B","C")))</f>
        <v/>
      </c>
      <c r="T69" s="10" t="n"/>
      <c r="U69" s="14" t="n"/>
      <c r="V69" s="10" t="n"/>
      <c r="W69" s="10" t="n"/>
    </row>
    <row r="70">
      <c r="A70" s="10" t="n"/>
      <c r="B70" s="10" t="n"/>
      <c r="C70" s="10" t="n"/>
      <c r="D70" s="10" t="n"/>
      <c r="E70" s="10" t="n"/>
      <c r="F70" s="11" t="n"/>
      <c r="G70" s="10" t="n"/>
      <c r="H70" s="12" t="n"/>
      <c r="I70" s="11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3">
        <f>IF(A70="","",IF(AND(N(F70)&gt;=3000,G70&lt;&gt;"Yes"),3,0)+IF(J70="Yes",2,0)+IF(OR(D70="1 venue",D70="2-6 venues"),1,0)+IF(OR(B70="Specialty coffee",B70="Brunch / cafe",B70="Dessert / bakery"),1,0)+IF(AND(N(H70)&gt;=4.3,N(I70)&gt;=50),1,0)+IF(AND(OR(M70&lt;&gt;"",N70&lt;&gt;""),O70&lt;&gt;""),1,0))</f>
        <v/>
      </c>
      <c r="S70" s="13">
        <f>IF(R70="","",IF(R70&gt;=6,"A",IF(R70&gt;=4,"B","C")))</f>
        <v/>
      </c>
      <c r="T70" s="10" t="n"/>
      <c r="U70" s="14" t="n"/>
      <c r="V70" s="10" t="n"/>
      <c r="W70" s="10" t="n"/>
    </row>
    <row r="71">
      <c r="A71" s="10" t="n"/>
      <c r="B71" s="10" t="n"/>
      <c r="C71" s="10" t="n"/>
      <c r="D71" s="10" t="n"/>
      <c r="E71" s="10" t="n"/>
      <c r="F71" s="11" t="n"/>
      <c r="G71" s="10" t="n"/>
      <c r="H71" s="12" t="n"/>
      <c r="I71" s="11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3">
        <f>IF(A71="","",IF(AND(N(F71)&gt;=3000,G71&lt;&gt;"Yes"),3,0)+IF(J71="Yes",2,0)+IF(OR(D71="1 venue",D71="2-6 venues"),1,0)+IF(OR(B71="Specialty coffee",B71="Brunch / cafe",B71="Dessert / bakery"),1,0)+IF(AND(N(H71)&gt;=4.3,N(I71)&gt;=50),1,0)+IF(AND(OR(M71&lt;&gt;"",N71&lt;&gt;""),O71&lt;&gt;""),1,0))</f>
        <v/>
      </c>
      <c r="S71" s="13">
        <f>IF(R71="","",IF(R71&gt;=6,"A",IF(R71&gt;=4,"B","C")))</f>
        <v/>
      </c>
      <c r="T71" s="10" t="n"/>
      <c r="U71" s="14" t="n"/>
      <c r="V71" s="10" t="n"/>
      <c r="W71" s="10" t="n"/>
    </row>
    <row r="72">
      <c r="A72" s="10" t="n"/>
      <c r="B72" s="10" t="n"/>
      <c r="C72" s="10" t="n"/>
      <c r="D72" s="10" t="n"/>
      <c r="E72" s="10" t="n"/>
      <c r="F72" s="11" t="n"/>
      <c r="G72" s="10" t="n"/>
      <c r="H72" s="12" t="n"/>
      <c r="I72" s="11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3">
        <f>IF(A72="","",IF(AND(N(F72)&gt;=3000,G72&lt;&gt;"Yes"),3,0)+IF(J72="Yes",2,0)+IF(OR(D72="1 venue",D72="2-6 venues"),1,0)+IF(OR(B72="Specialty coffee",B72="Brunch / cafe",B72="Dessert / bakery"),1,0)+IF(AND(N(H72)&gt;=4.3,N(I72)&gt;=50),1,0)+IF(AND(OR(M72&lt;&gt;"",N72&lt;&gt;""),O72&lt;&gt;""),1,0))</f>
        <v/>
      </c>
      <c r="S72" s="13">
        <f>IF(R72="","",IF(R72&gt;=6,"A",IF(R72&gt;=4,"B","C")))</f>
        <v/>
      </c>
      <c r="T72" s="10" t="n"/>
      <c r="U72" s="14" t="n"/>
      <c r="V72" s="10" t="n"/>
      <c r="W72" s="10" t="n"/>
    </row>
    <row r="73">
      <c r="A73" s="10" t="n"/>
      <c r="B73" s="10" t="n"/>
      <c r="C73" s="10" t="n"/>
      <c r="D73" s="10" t="n"/>
      <c r="E73" s="10" t="n"/>
      <c r="F73" s="11" t="n"/>
      <c r="G73" s="10" t="n"/>
      <c r="H73" s="12" t="n"/>
      <c r="I73" s="11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3">
        <f>IF(A73="","",IF(AND(N(F73)&gt;=3000,G73&lt;&gt;"Yes"),3,0)+IF(J73="Yes",2,0)+IF(OR(D73="1 venue",D73="2-6 venues"),1,0)+IF(OR(B73="Specialty coffee",B73="Brunch / cafe",B73="Dessert / bakery"),1,0)+IF(AND(N(H73)&gt;=4.3,N(I73)&gt;=50),1,0)+IF(AND(OR(M73&lt;&gt;"",N73&lt;&gt;""),O73&lt;&gt;""),1,0))</f>
        <v/>
      </c>
      <c r="S73" s="13">
        <f>IF(R73="","",IF(R73&gt;=6,"A",IF(R73&gt;=4,"B","C")))</f>
        <v/>
      </c>
      <c r="T73" s="10" t="n"/>
      <c r="U73" s="14" t="n"/>
      <c r="V73" s="10" t="n"/>
      <c r="W73" s="10" t="n"/>
    </row>
    <row r="74">
      <c r="A74" s="10" t="n"/>
      <c r="B74" s="10" t="n"/>
      <c r="C74" s="10" t="n"/>
      <c r="D74" s="10" t="n"/>
      <c r="E74" s="10" t="n"/>
      <c r="F74" s="11" t="n"/>
      <c r="G74" s="10" t="n"/>
      <c r="H74" s="12" t="n"/>
      <c r="I74" s="11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3">
        <f>IF(A74="","",IF(AND(N(F74)&gt;=3000,G74&lt;&gt;"Yes"),3,0)+IF(J74="Yes",2,0)+IF(OR(D74="1 venue",D74="2-6 venues"),1,0)+IF(OR(B74="Specialty coffee",B74="Brunch / cafe",B74="Dessert / bakery"),1,0)+IF(AND(N(H74)&gt;=4.3,N(I74)&gt;=50),1,0)+IF(AND(OR(M74&lt;&gt;"",N74&lt;&gt;""),O74&lt;&gt;""),1,0))</f>
        <v/>
      </c>
      <c r="S74" s="13">
        <f>IF(R74="","",IF(R74&gt;=6,"A",IF(R74&gt;=4,"B","C")))</f>
        <v/>
      </c>
      <c r="T74" s="10" t="n"/>
      <c r="U74" s="14" t="n"/>
      <c r="V74" s="10" t="n"/>
      <c r="W74" s="10" t="n"/>
    </row>
    <row r="75">
      <c r="A75" s="10" t="n"/>
      <c r="B75" s="10" t="n"/>
      <c r="C75" s="10" t="n"/>
      <c r="D75" s="10" t="n"/>
      <c r="E75" s="10" t="n"/>
      <c r="F75" s="11" t="n"/>
      <c r="G75" s="10" t="n"/>
      <c r="H75" s="12" t="n"/>
      <c r="I75" s="11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3">
        <f>IF(A75="","",IF(AND(N(F75)&gt;=3000,G75&lt;&gt;"Yes"),3,0)+IF(J75="Yes",2,0)+IF(OR(D75="1 venue",D75="2-6 venues"),1,0)+IF(OR(B75="Specialty coffee",B75="Brunch / cafe",B75="Dessert / bakery"),1,0)+IF(AND(N(H75)&gt;=4.3,N(I75)&gt;=50),1,0)+IF(AND(OR(M75&lt;&gt;"",N75&lt;&gt;""),O75&lt;&gt;""),1,0))</f>
        <v/>
      </c>
      <c r="S75" s="13">
        <f>IF(R75="","",IF(R75&gt;=6,"A",IF(R75&gt;=4,"B","C")))</f>
        <v/>
      </c>
      <c r="T75" s="10" t="n"/>
      <c r="U75" s="14" t="n"/>
      <c r="V75" s="10" t="n"/>
      <c r="W75" s="10" t="n"/>
    </row>
    <row r="76">
      <c r="A76" s="10" t="n"/>
      <c r="B76" s="10" t="n"/>
      <c r="C76" s="10" t="n"/>
      <c r="D76" s="10" t="n"/>
      <c r="E76" s="10" t="n"/>
      <c r="F76" s="11" t="n"/>
      <c r="G76" s="10" t="n"/>
      <c r="H76" s="12" t="n"/>
      <c r="I76" s="11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3">
        <f>IF(A76="","",IF(AND(N(F76)&gt;=3000,G76&lt;&gt;"Yes"),3,0)+IF(J76="Yes",2,0)+IF(OR(D76="1 venue",D76="2-6 venues"),1,0)+IF(OR(B76="Specialty coffee",B76="Brunch / cafe",B76="Dessert / bakery"),1,0)+IF(AND(N(H76)&gt;=4.3,N(I76)&gt;=50),1,0)+IF(AND(OR(M76&lt;&gt;"",N76&lt;&gt;""),O76&lt;&gt;""),1,0))</f>
        <v/>
      </c>
      <c r="S76" s="13">
        <f>IF(R76="","",IF(R76&gt;=6,"A",IF(R76&gt;=4,"B","C")))</f>
        <v/>
      </c>
      <c r="T76" s="10" t="n"/>
      <c r="U76" s="14" t="n"/>
      <c r="V76" s="10" t="n"/>
      <c r="W76" s="10" t="n"/>
    </row>
    <row r="77">
      <c r="A77" s="10" t="n"/>
      <c r="B77" s="10" t="n"/>
      <c r="C77" s="10" t="n"/>
      <c r="D77" s="10" t="n"/>
      <c r="E77" s="10" t="n"/>
      <c r="F77" s="11" t="n"/>
      <c r="G77" s="10" t="n"/>
      <c r="H77" s="12" t="n"/>
      <c r="I77" s="11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3">
        <f>IF(A77="","",IF(AND(N(F77)&gt;=3000,G77&lt;&gt;"Yes"),3,0)+IF(J77="Yes",2,0)+IF(OR(D77="1 venue",D77="2-6 venues"),1,0)+IF(OR(B77="Specialty coffee",B77="Brunch / cafe",B77="Dessert / bakery"),1,0)+IF(AND(N(H77)&gt;=4.3,N(I77)&gt;=50),1,0)+IF(AND(OR(M77&lt;&gt;"",N77&lt;&gt;""),O77&lt;&gt;""),1,0))</f>
        <v/>
      </c>
      <c r="S77" s="13">
        <f>IF(R77="","",IF(R77&gt;=6,"A",IF(R77&gt;=4,"B","C")))</f>
        <v/>
      </c>
      <c r="T77" s="10" t="n"/>
      <c r="U77" s="14" t="n"/>
      <c r="V77" s="10" t="n"/>
      <c r="W77" s="10" t="n"/>
    </row>
    <row r="78">
      <c r="A78" s="10" t="n"/>
      <c r="B78" s="10" t="n"/>
      <c r="C78" s="10" t="n"/>
      <c r="D78" s="10" t="n"/>
      <c r="E78" s="10" t="n"/>
      <c r="F78" s="11" t="n"/>
      <c r="G78" s="10" t="n"/>
      <c r="H78" s="12" t="n"/>
      <c r="I78" s="11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3">
        <f>IF(A78="","",IF(AND(N(F78)&gt;=3000,G78&lt;&gt;"Yes"),3,0)+IF(J78="Yes",2,0)+IF(OR(D78="1 venue",D78="2-6 venues"),1,0)+IF(OR(B78="Specialty coffee",B78="Brunch / cafe",B78="Dessert / bakery"),1,0)+IF(AND(N(H78)&gt;=4.3,N(I78)&gt;=50),1,0)+IF(AND(OR(M78&lt;&gt;"",N78&lt;&gt;""),O78&lt;&gt;""),1,0))</f>
        <v/>
      </c>
      <c r="S78" s="13">
        <f>IF(R78="","",IF(R78&gt;=6,"A",IF(R78&gt;=4,"B","C")))</f>
        <v/>
      </c>
      <c r="T78" s="10" t="n"/>
      <c r="U78" s="14" t="n"/>
      <c r="V78" s="10" t="n"/>
      <c r="W78" s="10" t="n"/>
    </row>
    <row r="79">
      <c r="A79" s="10" t="n"/>
      <c r="B79" s="10" t="n"/>
      <c r="C79" s="10" t="n"/>
      <c r="D79" s="10" t="n"/>
      <c r="E79" s="10" t="n"/>
      <c r="F79" s="11" t="n"/>
      <c r="G79" s="10" t="n"/>
      <c r="H79" s="12" t="n"/>
      <c r="I79" s="11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3">
        <f>IF(A79="","",IF(AND(N(F79)&gt;=3000,G79&lt;&gt;"Yes"),3,0)+IF(J79="Yes",2,0)+IF(OR(D79="1 venue",D79="2-6 venues"),1,0)+IF(OR(B79="Specialty coffee",B79="Brunch / cafe",B79="Dessert / bakery"),1,0)+IF(AND(N(H79)&gt;=4.3,N(I79)&gt;=50),1,0)+IF(AND(OR(M79&lt;&gt;"",N79&lt;&gt;""),O79&lt;&gt;""),1,0))</f>
        <v/>
      </c>
      <c r="S79" s="13">
        <f>IF(R79="","",IF(R79&gt;=6,"A",IF(R79&gt;=4,"B","C")))</f>
        <v/>
      </c>
      <c r="T79" s="10" t="n"/>
      <c r="U79" s="14" t="n"/>
      <c r="V79" s="10" t="n"/>
      <c r="W79" s="10" t="n"/>
    </row>
    <row r="80">
      <c r="A80" s="10" t="n"/>
      <c r="B80" s="10" t="n"/>
      <c r="C80" s="10" t="n"/>
      <c r="D80" s="10" t="n"/>
      <c r="E80" s="10" t="n"/>
      <c r="F80" s="11" t="n"/>
      <c r="G80" s="10" t="n"/>
      <c r="H80" s="12" t="n"/>
      <c r="I80" s="11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3">
        <f>IF(A80="","",IF(AND(N(F80)&gt;=3000,G80&lt;&gt;"Yes"),3,0)+IF(J80="Yes",2,0)+IF(OR(D80="1 venue",D80="2-6 venues"),1,0)+IF(OR(B80="Specialty coffee",B80="Brunch / cafe",B80="Dessert / bakery"),1,0)+IF(AND(N(H80)&gt;=4.3,N(I80)&gt;=50),1,0)+IF(AND(OR(M80&lt;&gt;"",N80&lt;&gt;""),O80&lt;&gt;""),1,0))</f>
        <v/>
      </c>
      <c r="S80" s="13">
        <f>IF(R80="","",IF(R80&gt;=6,"A",IF(R80&gt;=4,"B","C")))</f>
        <v/>
      </c>
      <c r="T80" s="10" t="n"/>
      <c r="U80" s="14" t="n"/>
      <c r="V80" s="10" t="n"/>
      <c r="W80" s="10" t="n"/>
    </row>
    <row r="81">
      <c r="A81" s="10" t="n"/>
      <c r="B81" s="10" t="n"/>
      <c r="C81" s="10" t="n"/>
      <c r="D81" s="10" t="n"/>
      <c r="E81" s="10" t="n"/>
      <c r="F81" s="11" t="n"/>
      <c r="G81" s="10" t="n"/>
      <c r="H81" s="12" t="n"/>
      <c r="I81" s="11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3">
        <f>IF(A81="","",IF(AND(N(F81)&gt;=3000,G81&lt;&gt;"Yes"),3,0)+IF(J81="Yes",2,0)+IF(OR(D81="1 venue",D81="2-6 venues"),1,0)+IF(OR(B81="Specialty coffee",B81="Brunch / cafe",B81="Dessert / bakery"),1,0)+IF(AND(N(H81)&gt;=4.3,N(I81)&gt;=50),1,0)+IF(AND(OR(M81&lt;&gt;"",N81&lt;&gt;""),O81&lt;&gt;""),1,0))</f>
        <v/>
      </c>
      <c r="S81" s="13">
        <f>IF(R81="","",IF(R81&gt;=6,"A",IF(R81&gt;=4,"B","C")))</f>
        <v/>
      </c>
      <c r="T81" s="10" t="n"/>
      <c r="U81" s="14" t="n"/>
      <c r="V81" s="10" t="n"/>
      <c r="W81" s="10" t="n"/>
    </row>
    <row r="82">
      <c r="A82" s="10" t="n"/>
      <c r="B82" s="10" t="n"/>
      <c r="C82" s="10" t="n"/>
      <c r="D82" s="10" t="n"/>
      <c r="E82" s="10" t="n"/>
      <c r="F82" s="11" t="n"/>
      <c r="G82" s="10" t="n"/>
      <c r="H82" s="12" t="n"/>
      <c r="I82" s="11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3">
        <f>IF(A82="","",IF(AND(N(F82)&gt;=3000,G82&lt;&gt;"Yes"),3,0)+IF(J82="Yes",2,0)+IF(OR(D82="1 venue",D82="2-6 venues"),1,0)+IF(OR(B82="Specialty coffee",B82="Brunch / cafe",B82="Dessert / bakery"),1,0)+IF(AND(N(H82)&gt;=4.3,N(I82)&gt;=50),1,0)+IF(AND(OR(M82&lt;&gt;"",N82&lt;&gt;""),O82&lt;&gt;""),1,0))</f>
        <v/>
      </c>
      <c r="S82" s="13">
        <f>IF(R82="","",IF(R82&gt;=6,"A",IF(R82&gt;=4,"B","C")))</f>
        <v/>
      </c>
      <c r="T82" s="10" t="n"/>
      <c r="U82" s="14" t="n"/>
      <c r="V82" s="10" t="n"/>
      <c r="W82" s="10" t="n"/>
    </row>
    <row r="83">
      <c r="A83" s="10" t="n"/>
      <c r="B83" s="10" t="n"/>
      <c r="C83" s="10" t="n"/>
      <c r="D83" s="10" t="n"/>
      <c r="E83" s="10" t="n"/>
      <c r="F83" s="11" t="n"/>
      <c r="G83" s="10" t="n"/>
      <c r="H83" s="12" t="n"/>
      <c r="I83" s="11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3">
        <f>IF(A83="","",IF(AND(N(F83)&gt;=3000,G83&lt;&gt;"Yes"),3,0)+IF(J83="Yes",2,0)+IF(OR(D83="1 venue",D83="2-6 venues"),1,0)+IF(OR(B83="Specialty coffee",B83="Brunch / cafe",B83="Dessert / bakery"),1,0)+IF(AND(N(H83)&gt;=4.3,N(I83)&gt;=50),1,0)+IF(AND(OR(M83&lt;&gt;"",N83&lt;&gt;""),O83&lt;&gt;""),1,0))</f>
        <v/>
      </c>
      <c r="S83" s="13">
        <f>IF(R83="","",IF(R83&gt;=6,"A",IF(R83&gt;=4,"B","C")))</f>
        <v/>
      </c>
      <c r="T83" s="10" t="n"/>
      <c r="U83" s="14" t="n"/>
      <c r="V83" s="10" t="n"/>
      <c r="W83" s="10" t="n"/>
    </row>
    <row r="84">
      <c r="A84" s="10" t="n"/>
      <c r="B84" s="10" t="n"/>
      <c r="C84" s="10" t="n"/>
      <c r="D84" s="10" t="n"/>
      <c r="E84" s="10" t="n"/>
      <c r="F84" s="11" t="n"/>
      <c r="G84" s="10" t="n"/>
      <c r="H84" s="12" t="n"/>
      <c r="I84" s="11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3">
        <f>IF(A84="","",IF(AND(N(F84)&gt;=3000,G84&lt;&gt;"Yes"),3,0)+IF(J84="Yes",2,0)+IF(OR(D84="1 venue",D84="2-6 venues"),1,0)+IF(OR(B84="Specialty coffee",B84="Brunch / cafe",B84="Dessert / bakery"),1,0)+IF(AND(N(H84)&gt;=4.3,N(I84)&gt;=50),1,0)+IF(AND(OR(M84&lt;&gt;"",N84&lt;&gt;""),O84&lt;&gt;""),1,0))</f>
        <v/>
      </c>
      <c r="S84" s="13">
        <f>IF(R84="","",IF(R84&gt;=6,"A",IF(R84&gt;=4,"B","C")))</f>
        <v/>
      </c>
      <c r="T84" s="10" t="n"/>
      <c r="U84" s="14" t="n"/>
      <c r="V84" s="10" t="n"/>
      <c r="W84" s="10" t="n"/>
    </row>
    <row r="85">
      <c r="A85" s="10" t="n"/>
      <c r="B85" s="10" t="n"/>
      <c r="C85" s="10" t="n"/>
      <c r="D85" s="10" t="n"/>
      <c r="E85" s="10" t="n"/>
      <c r="F85" s="11" t="n"/>
      <c r="G85" s="10" t="n"/>
      <c r="H85" s="12" t="n"/>
      <c r="I85" s="11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3">
        <f>IF(A85="","",IF(AND(N(F85)&gt;=3000,G85&lt;&gt;"Yes"),3,0)+IF(J85="Yes",2,0)+IF(OR(D85="1 venue",D85="2-6 venues"),1,0)+IF(OR(B85="Specialty coffee",B85="Brunch / cafe",B85="Dessert / bakery"),1,0)+IF(AND(N(H85)&gt;=4.3,N(I85)&gt;=50),1,0)+IF(AND(OR(M85&lt;&gt;"",N85&lt;&gt;""),O85&lt;&gt;""),1,0))</f>
        <v/>
      </c>
      <c r="S85" s="13">
        <f>IF(R85="","",IF(R85&gt;=6,"A",IF(R85&gt;=4,"B","C")))</f>
        <v/>
      </c>
      <c r="T85" s="10" t="n"/>
      <c r="U85" s="14" t="n"/>
      <c r="V85" s="10" t="n"/>
      <c r="W85" s="10" t="n"/>
    </row>
    <row r="86">
      <c r="A86" s="10" t="n"/>
      <c r="B86" s="10" t="n"/>
      <c r="C86" s="10" t="n"/>
      <c r="D86" s="10" t="n"/>
      <c r="E86" s="10" t="n"/>
      <c r="F86" s="11" t="n"/>
      <c r="G86" s="10" t="n"/>
      <c r="H86" s="12" t="n"/>
      <c r="I86" s="11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3">
        <f>IF(A86="","",IF(AND(N(F86)&gt;=3000,G86&lt;&gt;"Yes"),3,0)+IF(J86="Yes",2,0)+IF(OR(D86="1 venue",D86="2-6 venues"),1,0)+IF(OR(B86="Specialty coffee",B86="Brunch / cafe",B86="Dessert / bakery"),1,0)+IF(AND(N(H86)&gt;=4.3,N(I86)&gt;=50),1,0)+IF(AND(OR(M86&lt;&gt;"",N86&lt;&gt;""),O86&lt;&gt;""),1,0))</f>
        <v/>
      </c>
      <c r="S86" s="13">
        <f>IF(R86="","",IF(R86&gt;=6,"A",IF(R86&gt;=4,"B","C")))</f>
        <v/>
      </c>
      <c r="T86" s="10" t="n"/>
      <c r="U86" s="14" t="n"/>
      <c r="V86" s="10" t="n"/>
      <c r="W86" s="10" t="n"/>
    </row>
    <row r="87">
      <c r="A87" s="10" t="n"/>
      <c r="B87" s="10" t="n"/>
      <c r="C87" s="10" t="n"/>
      <c r="D87" s="10" t="n"/>
      <c r="E87" s="10" t="n"/>
      <c r="F87" s="11" t="n"/>
      <c r="G87" s="10" t="n"/>
      <c r="H87" s="12" t="n"/>
      <c r="I87" s="11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3">
        <f>IF(A87="","",IF(AND(N(F87)&gt;=3000,G87&lt;&gt;"Yes"),3,0)+IF(J87="Yes",2,0)+IF(OR(D87="1 venue",D87="2-6 venues"),1,0)+IF(OR(B87="Specialty coffee",B87="Brunch / cafe",B87="Dessert / bakery"),1,0)+IF(AND(N(H87)&gt;=4.3,N(I87)&gt;=50),1,0)+IF(AND(OR(M87&lt;&gt;"",N87&lt;&gt;""),O87&lt;&gt;""),1,0))</f>
        <v/>
      </c>
      <c r="S87" s="13">
        <f>IF(R87="","",IF(R87&gt;=6,"A",IF(R87&gt;=4,"B","C")))</f>
        <v/>
      </c>
      <c r="T87" s="10" t="n"/>
      <c r="U87" s="14" t="n"/>
      <c r="V87" s="10" t="n"/>
      <c r="W87" s="10" t="n"/>
    </row>
    <row r="88">
      <c r="A88" s="10" t="n"/>
      <c r="B88" s="10" t="n"/>
      <c r="C88" s="10" t="n"/>
      <c r="D88" s="10" t="n"/>
      <c r="E88" s="10" t="n"/>
      <c r="F88" s="11" t="n"/>
      <c r="G88" s="10" t="n"/>
      <c r="H88" s="12" t="n"/>
      <c r="I88" s="11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3">
        <f>IF(A88="","",IF(AND(N(F88)&gt;=3000,G88&lt;&gt;"Yes"),3,0)+IF(J88="Yes",2,0)+IF(OR(D88="1 venue",D88="2-6 venues"),1,0)+IF(OR(B88="Specialty coffee",B88="Brunch / cafe",B88="Dessert / bakery"),1,0)+IF(AND(N(H88)&gt;=4.3,N(I88)&gt;=50),1,0)+IF(AND(OR(M88&lt;&gt;"",N88&lt;&gt;""),O88&lt;&gt;""),1,0))</f>
        <v/>
      </c>
      <c r="S88" s="13">
        <f>IF(R88="","",IF(R88&gt;=6,"A",IF(R88&gt;=4,"B","C")))</f>
        <v/>
      </c>
      <c r="T88" s="10" t="n"/>
      <c r="U88" s="14" t="n"/>
      <c r="V88" s="10" t="n"/>
      <c r="W88" s="10" t="n"/>
    </row>
    <row r="89">
      <c r="A89" s="10" t="n"/>
      <c r="B89" s="10" t="n"/>
      <c r="C89" s="10" t="n"/>
      <c r="D89" s="10" t="n"/>
      <c r="E89" s="10" t="n"/>
      <c r="F89" s="11" t="n"/>
      <c r="G89" s="10" t="n"/>
      <c r="H89" s="12" t="n"/>
      <c r="I89" s="11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3">
        <f>IF(A89="","",IF(AND(N(F89)&gt;=3000,G89&lt;&gt;"Yes"),3,0)+IF(J89="Yes",2,0)+IF(OR(D89="1 venue",D89="2-6 venues"),1,0)+IF(OR(B89="Specialty coffee",B89="Brunch / cafe",B89="Dessert / bakery"),1,0)+IF(AND(N(H89)&gt;=4.3,N(I89)&gt;=50),1,0)+IF(AND(OR(M89&lt;&gt;"",N89&lt;&gt;""),O89&lt;&gt;""),1,0))</f>
        <v/>
      </c>
      <c r="S89" s="13">
        <f>IF(R89="","",IF(R89&gt;=6,"A",IF(R89&gt;=4,"B","C")))</f>
        <v/>
      </c>
      <c r="T89" s="10" t="n"/>
      <c r="U89" s="14" t="n"/>
      <c r="V89" s="10" t="n"/>
      <c r="W89" s="10" t="n"/>
    </row>
    <row r="90">
      <c r="A90" s="10" t="n"/>
      <c r="B90" s="10" t="n"/>
      <c r="C90" s="10" t="n"/>
      <c r="D90" s="10" t="n"/>
      <c r="E90" s="10" t="n"/>
      <c r="F90" s="11" t="n"/>
      <c r="G90" s="10" t="n"/>
      <c r="H90" s="12" t="n"/>
      <c r="I90" s="11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3">
        <f>IF(A90="","",IF(AND(N(F90)&gt;=3000,G90&lt;&gt;"Yes"),3,0)+IF(J90="Yes",2,0)+IF(OR(D90="1 venue",D90="2-6 venues"),1,0)+IF(OR(B90="Specialty coffee",B90="Brunch / cafe",B90="Dessert / bakery"),1,0)+IF(AND(N(H90)&gt;=4.3,N(I90)&gt;=50),1,0)+IF(AND(OR(M90&lt;&gt;"",N90&lt;&gt;""),O90&lt;&gt;""),1,0))</f>
        <v/>
      </c>
      <c r="S90" s="13">
        <f>IF(R90="","",IF(R90&gt;=6,"A",IF(R90&gt;=4,"B","C")))</f>
        <v/>
      </c>
      <c r="T90" s="10" t="n"/>
      <c r="U90" s="14" t="n"/>
      <c r="V90" s="10" t="n"/>
      <c r="W90" s="10" t="n"/>
    </row>
    <row r="91">
      <c r="A91" s="10" t="n"/>
      <c r="B91" s="10" t="n"/>
      <c r="C91" s="10" t="n"/>
      <c r="D91" s="10" t="n"/>
      <c r="E91" s="10" t="n"/>
      <c r="F91" s="11" t="n"/>
      <c r="G91" s="10" t="n"/>
      <c r="H91" s="12" t="n"/>
      <c r="I91" s="11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3">
        <f>IF(A91="","",IF(AND(N(F91)&gt;=3000,G91&lt;&gt;"Yes"),3,0)+IF(J91="Yes",2,0)+IF(OR(D91="1 venue",D91="2-6 venues"),1,0)+IF(OR(B91="Specialty coffee",B91="Brunch / cafe",B91="Dessert / bakery"),1,0)+IF(AND(N(H91)&gt;=4.3,N(I91)&gt;=50),1,0)+IF(AND(OR(M91&lt;&gt;"",N91&lt;&gt;""),O91&lt;&gt;""),1,0))</f>
        <v/>
      </c>
      <c r="S91" s="13">
        <f>IF(R91="","",IF(R91&gt;=6,"A",IF(R91&gt;=4,"B","C")))</f>
        <v/>
      </c>
      <c r="T91" s="10" t="n"/>
      <c r="U91" s="14" t="n"/>
      <c r="V91" s="10" t="n"/>
      <c r="W91" s="10" t="n"/>
    </row>
    <row r="92">
      <c r="A92" s="10" t="n"/>
      <c r="B92" s="10" t="n"/>
      <c r="C92" s="10" t="n"/>
      <c r="D92" s="10" t="n"/>
      <c r="E92" s="10" t="n"/>
      <c r="F92" s="11" t="n"/>
      <c r="G92" s="10" t="n"/>
      <c r="H92" s="12" t="n"/>
      <c r="I92" s="11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3">
        <f>IF(A92="","",IF(AND(N(F92)&gt;=3000,G92&lt;&gt;"Yes"),3,0)+IF(J92="Yes",2,0)+IF(OR(D92="1 venue",D92="2-6 venues"),1,0)+IF(OR(B92="Specialty coffee",B92="Brunch / cafe",B92="Dessert / bakery"),1,0)+IF(AND(N(H92)&gt;=4.3,N(I92)&gt;=50),1,0)+IF(AND(OR(M92&lt;&gt;"",N92&lt;&gt;""),O92&lt;&gt;""),1,0))</f>
        <v/>
      </c>
      <c r="S92" s="13">
        <f>IF(R92="","",IF(R92&gt;=6,"A",IF(R92&gt;=4,"B","C")))</f>
        <v/>
      </c>
      <c r="T92" s="10" t="n"/>
      <c r="U92" s="14" t="n"/>
      <c r="V92" s="10" t="n"/>
      <c r="W92" s="10" t="n"/>
    </row>
    <row r="93">
      <c r="A93" s="10" t="n"/>
      <c r="B93" s="10" t="n"/>
      <c r="C93" s="10" t="n"/>
      <c r="D93" s="10" t="n"/>
      <c r="E93" s="10" t="n"/>
      <c r="F93" s="11" t="n"/>
      <c r="G93" s="10" t="n"/>
      <c r="H93" s="12" t="n"/>
      <c r="I93" s="11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3">
        <f>IF(A93="","",IF(AND(N(F93)&gt;=3000,G93&lt;&gt;"Yes"),3,0)+IF(J93="Yes",2,0)+IF(OR(D93="1 venue",D93="2-6 venues"),1,0)+IF(OR(B93="Specialty coffee",B93="Brunch / cafe",B93="Dessert / bakery"),1,0)+IF(AND(N(H93)&gt;=4.3,N(I93)&gt;=50),1,0)+IF(AND(OR(M93&lt;&gt;"",N93&lt;&gt;""),O93&lt;&gt;""),1,0))</f>
        <v/>
      </c>
      <c r="S93" s="13">
        <f>IF(R93="","",IF(R93&gt;=6,"A",IF(R93&gt;=4,"B","C")))</f>
        <v/>
      </c>
      <c r="T93" s="10" t="n"/>
      <c r="U93" s="14" t="n"/>
      <c r="V93" s="10" t="n"/>
      <c r="W93" s="10" t="n"/>
    </row>
    <row r="94">
      <c r="A94" s="10" t="n"/>
      <c r="B94" s="10" t="n"/>
      <c r="C94" s="10" t="n"/>
      <c r="D94" s="10" t="n"/>
      <c r="E94" s="10" t="n"/>
      <c r="F94" s="11" t="n"/>
      <c r="G94" s="10" t="n"/>
      <c r="H94" s="12" t="n"/>
      <c r="I94" s="11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3">
        <f>IF(A94="","",IF(AND(N(F94)&gt;=3000,G94&lt;&gt;"Yes"),3,0)+IF(J94="Yes",2,0)+IF(OR(D94="1 venue",D94="2-6 venues"),1,0)+IF(OR(B94="Specialty coffee",B94="Brunch / cafe",B94="Dessert / bakery"),1,0)+IF(AND(N(H94)&gt;=4.3,N(I94)&gt;=50),1,0)+IF(AND(OR(M94&lt;&gt;"",N94&lt;&gt;""),O94&lt;&gt;""),1,0))</f>
        <v/>
      </c>
      <c r="S94" s="13">
        <f>IF(R94="","",IF(R94&gt;=6,"A",IF(R94&gt;=4,"B","C")))</f>
        <v/>
      </c>
      <c r="T94" s="10" t="n"/>
      <c r="U94" s="14" t="n"/>
      <c r="V94" s="10" t="n"/>
      <c r="W94" s="10" t="n"/>
    </row>
    <row r="95">
      <c r="A95" s="10" t="n"/>
      <c r="B95" s="10" t="n"/>
      <c r="C95" s="10" t="n"/>
      <c r="D95" s="10" t="n"/>
      <c r="E95" s="10" t="n"/>
      <c r="F95" s="11" t="n"/>
      <c r="G95" s="10" t="n"/>
      <c r="H95" s="12" t="n"/>
      <c r="I95" s="11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3">
        <f>IF(A95="","",IF(AND(N(F95)&gt;=3000,G95&lt;&gt;"Yes"),3,0)+IF(J95="Yes",2,0)+IF(OR(D95="1 venue",D95="2-6 venues"),1,0)+IF(OR(B95="Specialty coffee",B95="Brunch / cafe",B95="Dessert / bakery"),1,0)+IF(AND(N(H95)&gt;=4.3,N(I95)&gt;=50),1,0)+IF(AND(OR(M95&lt;&gt;"",N95&lt;&gt;""),O95&lt;&gt;""),1,0))</f>
        <v/>
      </c>
      <c r="S95" s="13">
        <f>IF(R95="","",IF(R95&gt;=6,"A",IF(R95&gt;=4,"B","C")))</f>
        <v/>
      </c>
      <c r="T95" s="10" t="n"/>
      <c r="U95" s="14" t="n"/>
      <c r="V95" s="10" t="n"/>
      <c r="W95" s="10" t="n"/>
    </row>
    <row r="96">
      <c r="A96" s="10" t="n"/>
      <c r="B96" s="10" t="n"/>
      <c r="C96" s="10" t="n"/>
      <c r="D96" s="10" t="n"/>
      <c r="E96" s="10" t="n"/>
      <c r="F96" s="11" t="n"/>
      <c r="G96" s="10" t="n"/>
      <c r="H96" s="12" t="n"/>
      <c r="I96" s="11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3">
        <f>IF(A96="","",IF(AND(N(F96)&gt;=3000,G96&lt;&gt;"Yes"),3,0)+IF(J96="Yes",2,0)+IF(OR(D96="1 venue",D96="2-6 venues"),1,0)+IF(OR(B96="Specialty coffee",B96="Brunch / cafe",B96="Dessert / bakery"),1,0)+IF(AND(N(H96)&gt;=4.3,N(I96)&gt;=50),1,0)+IF(AND(OR(M96&lt;&gt;"",N96&lt;&gt;""),O96&lt;&gt;""),1,0))</f>
        <v/>
      </c>
      <c r="S96" s="13">
        <f>IF(R96="","",IF(R96&gt;=6,"A",IF(R96&gt;=4,"B","C")))</f>
        <v/>
      </c>
      <c r="T96" s="10" t="n"/>
      <c r="U96" s="14" t="n"/>
      <c r="V96" s="10" t="n"/>
      <c r="W96" s="10" t="n"/>
    </row>
    <row r="97">
      <c r="A97" s="10" t="n"/>
      <c r="B97" s="10" t="n"/>
      <c r="C97" s="10" t="n"/>
      <c r="D97" s="10" t="n"/>
      <c r="E97" s="10" t="n"/>
      <c r="F97" s="11" t="n"/>
      <c r="G97" s="10" t="n"/>
      <c r="H97" s="12" t="n"/>
      <c r="I97" s="11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3">
        <f>IF(A97="","",IF(AND(N(F97)&gt;=3000,G97&lt;&gt;"Yes"),3,0)+IF(J97="Yes",2,0)+IF(OR(D97="1 venue",D97="2-6 venues"),1,0)+IF(OR(B97="Specialty coffee",B97="Brunch / cafe",B97="Dessert / bakery"),1,0)+IF(AND(N(H97)&gt;=4.3,N(I97)&gt;=50),1,0)+IF(AND(OR(M97&lt;&gt;"",N97&lt;&gt;""),O97&lt;&gt;""),1,0))</f>
        <v/>
      </c>
      <c r="S97" s="13">
        <f>IF(R97="","",IF(R97&gt;=6,"A",IF(R97&gt;=4,"B","C")))</f>
        <v/>
      </c>
      <c r="T97" s="10" t="n"/>
      <c r="U97" s="14" t="n"/>
      <c r="V97" s="10" t="n"/>
      <c r="W97" s="10" t="n"/>
    </row>
    <row r="98">
      <c r="A98" s="10" t="n"/>
      <c r="B98" s="10" t="n"/>
      <c r="C98" s="10" t="n"/>
      <c r="D98" s="10" t="n"/>
      <c r="E98" s="10" t="n"/>
      <c r="F98" s="11" t="n"/>
      <c r="G98" s="10" t="n"/>
      <c r="H98" s="12" t="n"/>
      <c r="I98" s="11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3">
        <f>IF(A98="","",IF(AND(N(F98)&gt;=3000,G98&lt;&gt;"Yes"),3,0)+IF(J98="Yes",2,0)+IF(OR(D98="1 venue",D98="2-6 venues"),1,0)+IF(OR(B98="Specialty coffee",B98="Brunch / cafe",B98="Dessert / bakery"),1,0)+IF(AND(N(H98)&gt;=4.3,N(I98)&gt;=50),1,0)+IF(AND(OR(M98&lt;&gt;"",N98&lt;&gt;""),O98&lt;&gt;""),1,0))</f>
        <v/>
      </c>
      <c r="S98" s="13">
        <f>IF(R98="","",IF(R98&gt;=6,"A",IF(R98&gt;=4,"B","C")))</f>
        <v/>
      </c>
      <c r="T98" s="10" t="n"/>
      <c r="U98" s="14" t="n"/>
      <c r="V98" s="10" t="n"/>
      <c r="W98" s="10" t="n"/>
    </row>
    <row r="99">
      <c r="A99" s="10" t="n"/>
      <c r="B99" s="10" t="n"/>
      <c r="C99" s="10" t="n"/>
      <c r="D99" s="10" t="n"/>
      <c r="E99" s="10" t="n"/>
      <c r="F99" s="11" t="n"/>
      <c r="G99" s="10" t="n"/>
      <c r="H99" s="12" t="n"/>
      <c r="I99" s="11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3">
        <f>IF(A99="","",IF(AND(N(F99)&gt;=3000,G99&lt;&gt;"Yes"),3,0)+IF(J99="Yes",2,0)+IF(OR(D99="1 venue",D99="2-6 venues"),1,0)+IF(OR(B99="Specialty coffee",B99="Brunch / cafe",B99="Dessert / bakery"),1,0)+IF(AND(N(H99)&gt;=4.3,N(I99)&gt;=50),1,0)+IF(AND(OR(M99&lt;&gt;"",N99&lt;&gt;""),O99&lt;&gt;""),1,0))</f>
        <v/>
      </c>
      <c r="S99" s="13">
        <f>IF(R99="","",IF(R99&gt;=6,"A",IF(R99&gt;=4,"B","C")))</f>
        <v/>
      </c>
      <c r="T99" s="10" t="n"/>
      <c r="U99" s="14" t="n"/>
      <c r="V99" s="10" t="n"/>
      <c r="W99" s="10" t="n"/>
    </row>
    <row r="100">
      <c r="A100" s="10" t="n"/>
      <c r="B100" s="10" t="n"/>
      <c r="C100" s="10" t="n"/>
      <c r="D100" s="10" t="n"/>
      <c r="E100" s="10" t="n"/>
      <c r="F100" s="11" t="n"/>
      <c r="G100" s="10" t="n"/>
      <c r="H100" s="12" t="n"/>
      <c r="I100" s="11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3">
        <f>IF(A100="","",IF(AND(N(F100)&gt;=3000,G100&lt;&gt;"Yes"),3,0)+IF(J100="Yes",2,0)+IF(OR(D100="1 venue",D100="2-6 venues"),1,0)+IF(OR(B100="Specialty coffee",B100="Brunch / cafe",B100="Dessert / bakery"),1,0)+IF(AND(N(H100)&gt;=4.3,N(I100)&gt;=50),1,0)+IF(AND(OR(M100&lt;&gt;"",N100&lt;&gt;""),O100&lt;&gt;""),1,0))</f>
        <v/>
      </c>
      <c r="S100" s="13">
        <f>IF(R100="","",IF(R100&gt;=6,"A",IF(R100&gt;=4,"B","C")))</f>
        <v/>
      </c>
      <c r="T100" s="10" t="n"/>
      <c r="U100" s="14" t="n"/>
      <c r="V100" s="10" t="n"/>
      <c r="W100" s="10" t="n"/>
    </row>
    <row r="101">
      <c r="A101" s="10" t="n"/>
      <c r="B101" s="10" t="n"/>
      <c r="C101" s="10" t="n"/>
      <c r="D101" s="10" t="n"/>
      <c r="E101" s="10" t="n"/>
      <c r="F101" s="11" t="n"/>
      <c r="G101" s="10" t="n"/>
      <c r="H101" s="12" t="n"/>
      <c r="I101" s="11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3">
        <f>IF(A101="","",IF(AND(N(F101)&gt;=3000,G101&lt;&gt;"Yes"),3,0)+IF(J101="Yes",2,0)+IF(OR(D101="1 venue",D101="2-6 venues"),1,0)+IF(OR(B101="Specialty coffee",B101="Brunch / cafe",B101="Dessert / bakery"),1,0)+IF(AND(N(H101)&gt;=4.3,N(I101)&gt;=50),1,0)+IF(AND(OR(M101&lt;&gt;"",N101&lt;&gt;""),O101&lt;&gt;""),1,0))</f>
        <v/>
      </c>
      <c r="S101" s="13">
        <f>IF(R101="","",IF(R101&gt;=6,"A",IF(R101&gt;=4,"B","C")))</f>
        <v/>
      </c>
      <c r="T101" s="10" t="n"/>
      <c r="U101" s="14" t="n"/>
      <c r="V101" s="10" t="n"/>
      <c r="W101" s="10" t="n"/>
    </row>
    <row r="102">
      <c r="A102" s="10" t="n"/>
      <c r="B102" s="10" t="n"/>
      <c r="C102" s="10" t="n"/>
      <c r="D102" s="10" t="n"/>
      <c r="E102" s="10" t="n"/>
      <c r="F102" s="11" t="n"/>
      <c r="G102" s="10" t="n"/>
      <c r="H102" s="12" t="n"/>
      <c r="I102" s="11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3">
        <f>IF(A102="","",IF(AND(N(F102)&gt;=3000,G102&lt;&gt;"Yes"),3,0)+IF(J102="Yes",2,0)+IF(OR(D102="1 venue",D102="2-6 venues"),1,0)+IF(OR(B102="Specialty coffee",B102="Brunch / cafe",B102="Dessert / bakery"),1,0)+IF(AND(N(H102)&gt;=4.3,N(I102)&gt;=50),1,0)+IF(AND(OR(M102&lt;&gt;"",N102&lt;&gt;""),O102&lt;&gt;""),1,0))</f>
        <v/>
      </c>
      <c r="S102" s="13">
        <f>IF(R102="","",IF(R102&gt;=6,"A",IF(R102&gt;=4,"B","C")))</f>
        <v/>
      </c>
      <c r="T102" s="10" t="n"/>
      <c r="U102" s="14" t="n"/>
      <c r="V102" s="10" t="n"/>
      <c r="W102" s="10" t="n"/>
    </row>
    <row r="103">
      <c r="A103" s="10" t="n"/>
      <c r="B103" s="10" t="n"/>
      <c r="C103" s="10" t="n"/>
      <c r="D103" s="10" t="n"/>
      <c r="E103" s="10" t="n"/>
      <c r="F103" s="11" t="n"/>
      <c r="G103" s="10" t="n"/>
      <c r="H103" s="12" t="n"/>
      <c r="I103" s="11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3">
        <f>IF(A103="","",IF(AND(N(F103)&gt;=3000,G103&lt;&gt;"Yes"),3,0)+IF(J103="Yes",2,0)+IF(OR(D103="1 venue",D103="2-6 venues"),1,0)+IF(OR(B103="Specialty coffee",B103="Brunch / cafe",B103="Dessert / bakery"),1,0)+IF(AND(N(H103)&gt;=4.3,N(I103)&gt;=50),1,0)+IF(AND(OR(M103&lt;&gt;"",N103&lt;&gt;""),O103&lt;&gt;""),1,0))</f>
        <v/>
      </c>
      <c r="S103" s="13">
        <f>IF(R103="","",IF(R103&gt;=6,"A",IF(R103&gt;=4,"B","C")))</f>
        <v/>
      </c>
      <c r="T103" s="10" t="n"/>
      <c r="U103" s="14" t="n"/>
      <c r="V103" s="10" t="n"/>
      <c r="W103" s="10" t="n"/>
    </row>
    <row r="104">
      <c r="A104" s="10" t="n"/>
      <c r="B104" s="10" t="n"/>
      <c r="C104" s="10" t="n"/>
      <c r="D104" s="10" t="n"/>
      <c r="E104" s="10" t="n"/>
      <c r="F104" s="11" t="n"/>
      <c r="G104" s="10" t="n"/>
      <c r="H104" s="12" t="n"/>
      <c r="I104" s="11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3">
        <f>IF(A104="","",IF(AND(N(F104)&gt;=3000,G104&lt;&gt;"Yes"),3,0)+IF(J104="Yes",2,0)+IF(OR(D104="1 venue",D104="2-6 venues"),1,0)+IF(OR(B104="Specialty coffee",B104="Brunch / cafe",B104="Dessert / bakery"),1,0)+IF(AND(N(H104)&gt;=4.3,N(I104)&gt;=50),1,0)+IF(AND(OR(M104&lt;&gt;"",N104&lt;&gt;""),O104&lt;&gt;""),1,0))</f>
        <v/>
      </c>
      <c r="S104" s="13">
        <f>IF(R104="","",IF(R104&gt;=6,"A",IF(R104&gt;=4,"B","C")))</f>
        <v/>
      </c>
      <c r="T104" s="10" t="n"/>
      <c r="U104" s="14" t="n"/>
      <c r="V104" s="10" t="n"/>
      <c r="W104" s="10" t="n"/>
    </row>
    <row r="105">
      <c r="A105" s="10" t="n"/>
      <c r="B105" s="10" t="n"/>
      <c r="C105" s="10" t="n"/>
      <c r="D105" s="10" t="n"/>
      <c r="E105" s="10" t="n"/>
      <c r="F105" s="11" t="n"/>
      <c r="G105" s="10" t="n"/>
      <c r="H105" s="12" t="n"/>
      <c r="I105" s="11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3">
        <f>IF(A105="","",IF(AND(N(F105)&gt;=3000,G105&lt;&gt;"Yes"),3,0)+IF(J105="Yes",2,0)+IF(OR(D105="1 venue",D105="2-6 venues"),1,0)+IF(OR(B105="Specialty coffee",B105="Brunch / cafe",B105="Dessert / bakery"),1,0)+IF(AND(N(H105)&gt;=4.3,N(I105)&gt;=50),1,0)+IF(AND(OR(M105&lt;&gt;"",N105&lt;&gt;""),O105&lt;&gt;""),1,0))</f>
        <v/>
      </c>
      <c r="S105" s="13">
        <f>IF(R105="","",IF(R105&gt;=6,"A",IF(R105&gt;=4,"B","C")))</f>
        <v/>
      </c>
      <c r="T105" s="10" t="n"/>
      <c r="U105" s="14" t="n"/>
      <c r="V105" s="10" t="n"/>
      <c r="W105" s="10" t="n"/>
    </row>
    <row r="106">
      <c r="A106" s="10" t="n"/>
      <c r="B106" s="10" t="n"/>
      <c r="C106" s="10" t="n"/>
      <c r="D106" s="10" t="n"/>
      <c r="E106" s="10" t="n"/>
      <c r="F106" s="11" t="n"/>
      <c r="G106" s="10" t="n"/>
      <c r="H106" s="12" t="n"/>
      <c r="I106" s="11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3">
        <f>IF(A106="","",IF(AND(N(F106)&gt;=3000,G106&lt;&gt;"Yes"),3,0)+IF(J106="Yes",2,0)+IF(OR(D106="1 venue",D106="2-6 venues"),1,0)+IF(OR(B106="Specialty coffee",B106="Brunch / cafe",B106="Dessert / bakery"),1,0)+IF(AND(N(H106)&gt;=4.3,N(I106)&gt;=50),1,0)+IF(AND(OR(M106&lt;&gt;"",N106&lt;&gt;""),O106&lt;&gt;""),1,0))</f>
        <v/>
      </c>
      <c r="S106" s="13">
        <f>IF(R106="","",IF(R106&gt;=6,"A",IF(R106&gt;=4,"B","C")))</f>
        <v/>
      </c>
      <c r="T106" s="10" t="n"/>
      <c r="U106" s="14" t="n"/>
      <c r="V106" s="10" t="n"/>
      <c r="W106" s="10" t="n"/>
    </row>
    <row r="107">
      <c r="A107" s="10" t="n"/>
      <c r="B107" s="10" t="n"/>
      <c r="C107" s="10" t="n"/>
      <c r="D107" s="10" t="n"/>
      <c r="E107" s="10" t="n"/>
      <c r="F107" s="11" t="n"/>
      <c r="G107" s="10" t="n"/>
      <c r="H107" s="12" t="n"/>
      <c r="I107" s="11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3">
        <f>IF(A107="","",IF(AND(N(F107)&gt;=3000,G107&lt;&gt;"Yes"),3,0)+IF(J107="Yes",2,0)+IF(OR(D107="1 venue",D107="2-6 venues"),1,0)+IF(OR(B107="Specialty coffee",B107="Brunch / cafe",B107="Dessert / bakery"),1,0)+IF(AND(N(H107)&gt;=4.3,N(I107)&gt;=50),1,0)+IF(AND(OR(M107&lt;&gt;"",N107&lt;&gt;""),O107&lt;&gt;""),1,0))</f>
        <v/>
      </c>
      <c r="S107" s="13">
        <f>IF(R107="","",IF(R107&gt;=6,"A",IF(R107&gt;=4,"B","C")))</f>
        <v/>
      </c>
      <c r="T107" s="10" t="n"/>
      <c r="U107" s="14" t="n"/>
      <c r="V107" s="10" t="n"/>
      <c r="W107" s="10" t="n"/>
    </row>
    <row r="108">
      <c r="A108" s="10" t="n"/>
      <c r="B108" s="10" t="n"/>
      <c r="C108" s="10" t="n"/>
      <c r="D108" s="10" t="n"/>
      <c r="E108" s="10" t="n"/>
      <c r="F108" s="11" t="n"/>
      <c r="G108" s="10" t="n"/>
      <c r="H108" s="12" t="n"/>
      <c r="I108" s="11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3">
        <f>IF(A108="","",IF(AND(N(F108)&gt;=3000,G108&lt;&gt;"Yes"),3,0)+IF(J108="Yes",2,0)+IF(OR(D108="1 venue",D108="2-6 venues"),1,0)+IF(OR(B108="Specialty coffee",B108="Brunch / cafe",B108="Dessert / bakery"),1,0)+IF(AND(N(H108)&gt;=4.3,N(I108)&gt;=50),1,0)+IF(AND(OR(M108&lt;&gt;"",N108&lt;&gt;""),O108&lt;&gt;""),1,0))</f>
        <v/>
      </c>
      <c r="S108" s="13">
        <f>IF(R108="","",IF(R108&gt;=6,"A",IF(R108&gt;=4,"B","C")))</f>
        <v/>
      </c>
      <c r="T108" s="10" t="n"/>
      <c r="U108" s="14" t="n"/>
      <c r="V108" s="10" t="n"/>
      <c r="W108" s="10" t="n"/>
    </row>
    <row r="109">
      <c r="A109" s="10" t="n"/>
      <c r="B109" s="10" t="n"/>
      <c r="C109" s="10" t="n"/>
      <c r="D109" s="10" t="n"/>
      <c r="E109" s="10" t="n"/>
      <c r="F109" s="11" t="n"/>
      <c r="G109" s="10" t="n"/>
      <c r="H109" s="12" t="n"/>
      <c r="I109" s="11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3">
        <f>IF(A109="","",IF(AND(N(F109)&gt;=3000,G109&lt;&gt;"Yes"),3,0)+IF(J109="Yes",2,0)+IF(OR(D109="1 venue",D109="2-6 venues"),1,0)+IF(OR(B109="Specialty coffee",B109="Brunch / cafe",B109="Dessert / bakery"),1,0)+IF(AND(N(H109)&gt;=4.3,N(I109)&gt;=50),1,0)+IF(AND(OR(M109&lt;&gt;"",N109&lt;&gt;""),O109&lt;&gt;""),1,0))</f>
        <v/>
      </c>
      <c r="S109" s="13">
        <f>IF(R109="","",IF(R109&gt;=6,"A",IF(R109&gt;=4,"B","C")))</f>
        <v/>
      </c>
      <c r="T109" s="10" t="n"/>
      <c r="U109" s="14" t="n"/>
      <c r="V109" s="10" t="n"/>
      <c r="W109" s="10" t="n"/>
    </row>
    <row r="110">
      <c r="A110" s="10" t="n"/>
      <c r="B110" s="10" t="n"/>
      <c r="C110" s="10" t="n"/>
      <c r="D110" s="10" t="n"/>
      <c r="E110" s="10" t="n"/>
      <c r="F110" s="11" t="n"/>
      <c r="G110" s="10" t="n"/>
      <c r="H110" s="12" t="n"/>
      <c r="I110" s="11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3">
        <f>IF(A110="","",IF(AND(N(F110)&gt;=3000,G110&lt;&gt;"Yes"),3,0)+IF(J110="Yes",2,0)+IF(OR(D110="1 venue",D110="2-6 venues"),1,0)+IF(OR(B110="Specialty coffee",B110="Brunch / cafe",B110="Dessert / bakery"),1,0)+IF(AND(N(H110)&gt;=4.3,N(I110)&gt;=50),1,0)+IF(AND(OR(M110&lt;&gt;"",N110&lt;&gt;""),O110&lt;&gt;""),1,0))</f>
        <v/>
      </c>
      <c r="S110" s="13">
        <f>IF(R110="","",IF(R110&gt;=6,"A",IF(R110&gt;=4,"B","C")))</f>
        <v/>
      </c>
      <c r="T110" s="10" t="n"/>
      <c r="U110" s="14" t="n"/>
      <c r="V110" s="10" t="n"/>
      <c r="W110" s="10" t="n"/>
    </row>
    <row r="111">
      <c r="A111" s="10" t="n"/>
      <c r="B111" s="10" t="n"/>
      <c r="C111" s="10" t="n"/>
      <c r="D111" s="10" t="n"/>
      <c r="E111" s="10" t="n"/>
      <c r="F111" s="11" t="n"/>
      <c r="G111" s="10" t="n"/>
      <c r="H111" s="12" t="n"/>
      <c r="I111" s="11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3">
        <f>IF(A111="","",IF(AND(N(F111)&gt;=3000,G111&lt;&gt;"Yes"),3,0)+IF(J111="Yes",2,0)+IF(OR(D111="1 venue",D111="2-6 venues"),1,0)+IF(OR(B111="Specialty coffee",B111="Brunch / cafe",B111="Dessert / bakery"),1,0)+IF(AND(N(H111)&gt;=4.3,N(I111)&gt;=50),1,0)+IF(AND(OR(M111&lt;&gt;"",N111&lt;&gt;""),O111&lt;&gt;""),1,0))</f>
        <v/>
      </c>
      <c r="S111" s="13">
        <f>IF(R111="","",IF(R111&gt;=6,"A",IF(R111&gt;=4,"B","C")))</f>
        <v/>
      </c>
      <c r="T111" s="10" t="n"/>
      <c r="U111" s="14" t="n"/>
      <c r="V111" s="10" t="n"/>
      <c r="W111" s="10" t="n"/>
    </row>
    <row r="112">
      <c r="A112" s="10" t="n"/>
      <c r="B112" s="10" t="n"/>
      <c r="C112" s="10" t="n"/>
      <c r="D112" s="10" t="n"/>
      <c r="E112" s="10" t="n"/>
      <c r="F112" s="11" t="n"/>
      <c r="G112" s="10" t="n"/>
      <c r="H112" s="12" t="n"/>
      <c r="I112" s="11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3">
        <f>IF(A112="","",IF(AND(N(F112)&gt;=3000,G112&lt;&gt;"Yes"),3,0)+IF(J112="Yes",2,0)+IF(OR(D112="1 venue",D112="2-6 venues"),1,0)+IF(OR(B112="Specialty coffee",B112="Brunch / cafe",B112="Dessert / bakery"),1,0)+IF(AND(N(H112)&gt;=4.3,N(I112)&gt;=50),1,0)+IF(AND(OR(M112&lt;&gt;"",N112&lt;&gt;""),O112&lt;&gt;""),1,0))</f>
        <v/>
      </c>
      <c r="S112" s="13">
        <f>IF(R112="","",IF(R112&gt;=6,"A",IF(R112&gt;=4,"B","C")))</f>
        <v/>
      </c>
      <c r="T112" s="10" t="n"/>
      <c r="U112" s="14" t="n"/>
      <c r="V112" s="10" t="n"/>
      <c r="W112" s="10" t="n"/>
    </row>
    <row r="113">
      <c r="A113" s="10" t="n"/>
      <c r="B113" s="10" t="n"/>
      <c r="C113" s="10" t="n"/>
      <c r="D113" s="10" t="n"/>
      <c r="E113" s="10" t="n"/>
      <c r="F113" s="11" t="n"/>
      <c r="G113" s="10" t="n"/>
      <c r="H113" s="12" t="n"/>
      <c r="I113" s="11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3">
        <f>IF(A113="","",IF(AND(N(F113)&gt;=3000,G113&lt;&gt;"Yes"),3,0)+IF(J113="Yes",2,0)+IF(OR(D113="1 venue",D113="2-6 venues"),1,0)+IF(OR(B113="Specialty coffee",B113="Brunch / cafe",B113="Dessert / bakery"),1,0)+IF(AND(N(H113)&gt;=4.3,N(I113)&gt;=50),1,0)+IF(AND(OR(M113&lt;&gt;"",N113&lt;&gt;""),O113&lt;&gt;""),1,0))</f>
        <v/>
      </c>
      <c r="S113" s="13">
        <f>IF(R113="","",IF(R113&gt;=6,"A",IF(R113&gt;=4,"B","C")))</f>
        <v/>
      </c>
      <c r="T113" s="10" t="n"/>
      <c r="U113" s="14" t="n"/>
      <c r="V113" s="10" t="n"/>
      <c r="W113" s="10" t="n"/>
    </row>
    <row r="114">
      <c r="A114" s="10" t="n"/>
      <c r="B114" s="10" t="n"/>
      <c r="C114" s="10" t="n"/>
      <c r="D114" s="10" t="n"/>
      <c r="E114" s="10" t="n"/>
      <c r="F114" s="11" t="n"/>
      <c r="G114" s="10" t="n"/>
      <c r="H114" s="12" t="n"/>
      <c r="I114" s="11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3">
        <f>IF(A114="","",IF(AND(N(F114)&gt;=3000,G114&lt;&gt;"Yes"),3,0)+IF(J114="Yes",2,0)+IF(OR(D114="1 venue",D114="2-6 venues"),1,0)+IF(OR(B114="Specialty coffee",B114="Brunch / cafe",B114="Dessert / bakery"),1,0)+IF(AND(N(H114)&gt;=4.3,N(I114)&gt;=50),1,0)+IF(AND(OR(M114&lt;&gt;"",N114&lt;&gt;""),O114&lt;&gt;""),1,0))</f>
        <v/>
      </c>
      <c r="S114" s="13">
        <f>IF(R114="","",IF(R114&gt;=6,"A",IF(R114&gt;=4,"B","C")))</f>
        <v/>
      </c>
      <c r="T114" s="10" t="n"/>
      <c r="U114" s="14" t="n"/>
      <c r="V114" s="10" t="n"/>
      <c r="W114" s="10" t="n"/>
    </row>
    <row r="115">
      <c r="A115" s="10" t="n"/>
      <c r="B115" s="10" t="n"/>
      <c r="C115" s="10" t="n"/>
      <c r="D115" s="10" t="n"/>
      <c r="E115" s="10" t="n"/>
      <c r="F115" s="11" t="n"/>
      <c r="G115" s="10" t="n"/>
      <c r="H115" s="12" t="n"/>
      <c r="I115" s="11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3">
        <f>IF(A115="","",IF(AND(N(F115)&gt;=3000,G115&lt;&gt;"Yes"),3,0)+IF(J115="Yes",2,0)+IF(OR(D115="1 venue",D115="2-6 venues"),1,0)+IF(OR(B115="Specialty coffee",B115="Brunch / cafe",B115="Dessert / bakery"),1,0)+IF(AND(N(H115)&gt;=4.3,N(I115)&gt;=50),1,0)+IF(AND(OR(M115&lt;&gt;"",N115&lt;&gt;""),O115&lt;&gt;""),1,0))</f>
        <v/>
      </c>
      <c r="S115" s="13">
        <f>IF(R115="","",IF(R115&gt;=6,"A",IF(R115&gt;=4,"B","C")))</f>
        <v/>
      </c>
      <c r="T115" s="10" t="n"/>
      <c r="U115" s="14" t="n"/>
      <c r="V115" s="10" t="n"/>
      <c r="W115" s="10" t="n"/>
    </row>
    <row r="116">
      <c r="A116" s="10" t="n"/>
      <c r="B116" s="10" t="n"/>
      <c r="C116" s="10" t="n"/>
      <c r="D116" s="10" t="n"/>
      <c r="E116" s="10" t="n"/>
      <c r="F116" s="11" t="n"/>
      <c r="G116" s="10" t="n"/>
      <c r="H116" s="12" t="n"/>
      <c r="I116" s="11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3">
        <f>IF(A116="","",IF(AND(N(F116)&gt;=3000,G116&lt;&gt;"Yes"),3,0)+IF(J116="Yes",2,0)+IF(OR(D116="1 venue",D116="2-6 venues"),1,0)+IF(OR(B116="Specialty coffee",B116="Brunch / cafe",B116="Dessert / bakery"),1,0)+IF(AND(N(H116)&gt;=4.3,N(I116)&gt;=50),1,0)+IF(AND(OR(M116&lt;&gt;"",N116&lt;&gt;""),O116&lt;&gt;""),1,0))</f>
        <v/>
      </c>
      <c r="S116" s="13">
        <f>IF(R116="","",IF(R116&gt;=6,"A",IF(R116&gt;=4,"B","C")))</f>
        <v/>
      </c>
      <c r="T116" s="10" t="n"/>
      <c r="U116" s="14" t="n"/>
      <c r="V116" s="10" t="n"/>
      <c r="W116" s="10" t="n"/>
    </row>
    <row r="117">
      <c r="A117" s="10" t="n"/>
      <c r="B117" s="10" t="n"/>
      <c r="C117" s="10" t="n"/>
      <c r="D117" s="10" t="n"/>
      <c r="E117" s="10" t="n"/>
      <c r="F117" s="11" t="n"/>
      <c r="G117" s="10" t="n"/>
      <c r="H117" s="12" t="n"/>
      <c r="I117" s="11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3">
        <f>IF(A117="","",IF(AND(N(F117)&gt;=3000,G117&lt;&gt;"Yes"),3,0)+IF(J117="Yes",2,0)+IF(OR(D117="1 venue",D117="2-6 venues"),1,0)+IF(OR(B117="Specialty coffee",B117="Brunch / cafe",B117="Dessert / bakery"),1,0)+IF(AND(N(H117)&gt;=4.3,N(I117)&gt;=50),1,0)+IF(AND(OR(M117&lt;&gt;"",N117&lt;&gt;""),O117&lt;&gt;""),1,0))</f>
        <v/>
      </c>
      <c r="S117" s="13">
        <f>IF(R117="","",IF(R117&gt;=6,"A",IF(R117&gt;=4,"B","C")))</f>
        <v/>
      </c>
      <c r="T117" s="10" t="n"/>
      <c r="U117" s="14" t="n"/>
      <c r="V117" s="10" t="n"/>
      <c r="W117" s="10" t="n"/>
    </row>
    <row r="118">
      <c r="A118" s="10" t="n"/>
      <c r="B118" s="10" t="n"/>
      <c r="C118" s="10" t="n"/>
      <c r="D118" s="10" t="n"/>
      <c r="E118" s="10" t="n"/>
      <c r="F118" s="11" t="n"/>
      <c r="G118" s="10" t="n"/>
      <c r="H118" s="12" t="n"/>
      <c r="I118" s="11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3">
        <f>IF(A118="","",IF(AND(N(F118)&gt;=3000,G118&lt;&gt;"Yes"),3,0)+IF(J118="Yes",2,0)+IF(OR(D118="1 venue",D118="2-6 venues"),1,0)+IF(OR(B118="Specialty coffee",B118="Brunch / cafe",B118="Dessert / bakery"),1,0)+IF(AND(N(H118)&gt;=4.3,N(I118)&gt;=50),1,0)+IF(AND(OR(M118&lt;&gt;"",N118&lt;&gt;""),O118&lt;&gt;""),1,0))</f>
        <v/>
      </c>
      <c r="S118" s="13">
        <f>IF(R118="","",IF(R118&gt;=6,"A",IF(R118&gt;=4,"B","C")))</f>
        <v/>
      </c>
      <c r="T118" s="10" t="n"/>
      <c r="U118" s="14" t="n"/>
      <c r="V118" s="10" t="n"/>
      <c r="W118" s="10" t="n"/>
    </row>
    <row r="119">
      <c r="A119" s="10" t="n"/>
      <c r="B119" s="10" t="n"/>
      <c r="C119" s="10" t="n"/>
      <c r="D119" s="10" t="n"/>
      <c r="E119" s="10" t="n"/>
      <c r="F119" s="11" t="n"/>
      <c r="G119" s="10" t="n"/>
      <c r="H119" s="12" t="n"/>
      <c r="I119" s="11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3">
        <f>IF(A119="","",IF(AND(N(F119)&gt;=3000,G119&lt;&gt;"Yes"),3,0)+IF(J119="Yes",2,0)+IF(OR(D119="1 venue",D119="2-6 venues"),1,0)+IF(OR(B119="Specialty coffee",B119="Brunch / cafe",B119="Dessert / bakery"),1,0)+IF(AND(N(H119)&gt;=4.3,N(I119)&gt;=50),1,0)+IF(AND(OR(M119&lt;&gt;"",N119&lt;&gt;""),O119&lt;&gt;""),1,0))</f>
        <v/>
      </c>
      <c r="S119" s="13">
        <f>IF(R119="","",IF(R119&gt;=6,"A",IF(R119&gt;=4,"B","C")))</f>
        <v/>
      </c>
      <c r="T119" s="10" t="n"/>
      <c r="U119" s="14" t="n"/>
      <c r="V119" s="10" t="n"/>
      <c r="W119" s="10" t="n"/>
    </row>
    <row r="120">
      <c r="A120" s="10" t="n"/>
      <c r="B120" s="10" t="n"/>
      <c r="C120" s="10" t="n"/>
      <c r="D120" s="10" t="n"/>
      <c r="E120" s="10" t="n"/>
      <c r="F120" s="11" t="n"/>
      <c r="G120" s="10" t="n"/>
      <c r="H120" s="12" t="n"/>
      <c r="I120" s="11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3">
        <f>IF(A120="","",IF(AND(N(F120)&gt;=3000,G120&lt;&gt;"Yes"),3,0)+IF(J120="Yes",2,0)+IF(OR(D120="1 venue",D120="2-6 venues"),1,0)+IF(OR(B120="Specialty coffee",B120="Brunch / cafe",B120="Dessert / bakery"),1,0)+IF(AND(N(H120)&gt;=4.3,N(I120)&gt;=50),1,0)+IF(AND(OR(M120&lt;&gt;"",N120&lt;&gt;""),O120&lt;&gt;""),1,0))</f>
        <v/>
      </c>
      <c r="S120" s="13">
        <f>IF(R120="","",IF(R120&gt;=6,"A",IF(R120&gt;=4,"B","C")))</f>
        <v/>
      </c>
      <c r="T120" s="10" t="n"/>
      <c r="U120" s="14" t="n"/>
      <c r="V120" s="10" t="n"/>
      <c r="W120" s="10" t="n"/>
    </row>
    <row r="121">
      <c r="A121" s="10" t="n"/>
      <c r="B121" s="10" t="n"/>
      <c r="C121" s="10" t="n"/>
      <c r="D121" s="10" t="n"/>
      <c r="E121" s="10" t="n"/>
      <c r="F121" s="11" t="n"/>
      <c r="G121" s="10" t="n"/>
      <c r="H121" s="12" t="n"/>
      <c r="I121" s="11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3">
        <f>IF(A121="","",IF(AND(N(F121)&gt;=3000,G121&lt;&gt;"Yes"),3,0)+IF(J121="Yes",2,0)+IF(OR(D121="1 venue",D121="2-6 venues"),1,0)+IF(OR(B121="Specialty coffee",B121="Brunch / cafe",B121="Dessert / bakery"),1,0)+IF(AND(N(H121)&gt;=4.3,N(I121)&gt;=50),1,0)+IF(AND(OR(M121&lt;&gt;"",N121&lt;&gt;""),O121&lt;&gt;""),1,0))</f>
        <v/>
      </c>
      <c r="S121" s="13">
        <f>IF(R121="","",IF(R121&gt;=6,"A",IF(R121&gt;=4,"B","C")))</f>
        <v/>
      </c>
      <c r="T121" s="10" t="n"/>
      <c r="U121" s="14" t="n"/>
      <c r="V121" s="10" t="n"/>
      <c r="W121" s="10" t="n"/>
    </row>
    <row r="122">
      <c r="A122" s="10" t="n"/>
      <c r="B122" s="10" t="n"/>
      <c r="C122" s="10" t="n"/>
      <c r="D122" s="10" t="n"/>
      <c r="E122" s="10" t="n"/>
      <c r="F122" s="11" t="n"/>
      <c r="G122" s="10" t="n"/>
      <c r="H122" s="12" t="n"/>
      <c r="I122" s="11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3">
        <f>IF(A122="","",IF(AND(N(F122)&gt;=3000,G122&lt;&gt;"Yes"),3,0)+IF(J122="Yes",2,0)+IF(OR(D122="1 venue",D122="2-6 venues"),1,0)+IF(OR(B122="Specialty coffee",B122="Brunch / cafe",B122="Dessert / bakery"),1,0)+IF(AND(N(H122)&gt;=4.3,N(I122)&gt;=50),1,0)+IF(AND(OR(M122&lt;&gt;"",N122&lt;&gt;""),O122&lt;&gt;""),1,0))</f>
        <v/>
      </c>
      <c r="S122" s="13">
        <f>IF(R122="","",IF(R122&gt;=6,"A",IF(R122&gt;=4,"B","C")))</f>
        <v/>
      </c>
      <c r="T122" s="10" t="n"/>
      <c r="U122" s="14" t="n"/>
      <c r="V122" s="10" t="n"/>
      <c r="W122" s="10" t="n"/>
    </row>
    <row r="123">
      <c r="A123" s="10" t="n"/>
      <c r="B123" s="10" t="n"/>
      <c r="C123" s="10" t="n"/>
      <c r="D123" s="10" t="n"/>
      <c r="E123" s="10" t="n"/>
      <c r="F123" s="11" t="n"/>
      <c r="G123" s="10" t="n"/>
      <c r="H123" s="12" t="n"/>
      <c r="I123" s="11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3">
        <f>IF(A123="","",IF(AND(N(F123)&gt;=3000,G123&lt;&gt;"Yes"),3,0)+IF(J123="Yes",2,0)+IF(OR(D123="1 venue",D123="2-6 venues"),1,0)+IF(OR(B123="Specialty coffee",B123="Brunch / cafe",B123="Dessert / bakery"),1,0)+IF(AND(N(H123)&gt;=4.3,N(I123)&gt;=50),1,0)+IF(AND(OR(M123&lt;&gt;"",N123&lt;&gt;""),O123&lt;&gt;""),1,0))</f>
        <v/>
      </c>
      <c r="S123" s="13">
        <f>IF(R123="","",IF(R123&gt;=6,"A",IF(R123&gt;=4,"B","C")))</f>
        <v/>
      </c>
      <c r="T123" s="10" t="n"/>
      <c r="U123" s="14" t="n"/>
      <c r="V123" s="10" t="n"/>
      <c r="W123" s="10" t="n"/>
    </row>
    <row r="124">
      <c r="A124" s="10" t="n"/>
      <c r="B124" s="10" t="n"/>
      <c r="C124" s="10" t="n"/>
      <c r="D124" s="10" t="n"/>
      <c r="E124" s="10" t="n"/>
      <c r="F124" s="11" t="n"/>
      <c r="G124" s="10" t="n"/>
      <c r="H124" s="12" t="n"/>
      <c r="I124" s="11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3">
        <f>IF(A124="","",IF(AND(N(F124)&gt;=3000,G124&lt;&gt;"Yes"),3,0)+IF(J124="Yes",2,0)+IF(OR(D124="1 venue",D124="2-6 venues"),1,0)+IF(OR(B124="Specialty coffee",B124="Brunch / cafe",B124="Dessert / bakery"),1,0)+IF(AND(N(H124)&gt;=4.3,N(I124)&gt;=50),1,0)+IF(AND(OR(M124&lt;&gt;"",N124&lt;&gt;""),O124&lt;&gt;""),1,0))</f>
        <v/>
      </c>
      <c r="S124" s="13">
        <f>IF(R124="","",IF(R124&gt;=6,"A",IF(R124&gt;=4,"B","C")))</f>
        <v/>
      </c>
      <c r="T124" s="10" t="n"/>
      <c r="U124" s="14" t="n"/>
      <c r="V124" s="10" t="n"/>
      <c r="W124" s="10" t="n"/>
    </row>
    <row r="125">
      <c r="A125" s="10" t="n"/>
      <c r="B125" s="10" t="n"/>
      <c r="C125" s="10" t="n"/>
      <c r="D125" s="10" t="n"/>
      <c r="E125" s="10" t="n"/>
      <c r="F125" s="11" t="n"/>
      <c r="G125" s="10" t="n"/>
      <c r="H125" s="12" t="n"/>
      <c r="I125" s="11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3">
        <f>IF(A125="","",IF(AND(N(F125)&gt;=3000,G125&lt;&gt;"Yes"),3,0)+IF(J125="Yes",2,0)+IF(OR(D125="1 venue",D125="2-6 venues"),1,0)+IF(OR(B125="Specialty coffee",B125="Brunch / cafe",B125="Dessert / bakery"),1,0)+IF(AND(N(H125)&gt;=4.3,N(I125)&gt;=50),1,0)+IF(AND(OR(M125&lt;&gt;"",N125&lt;&gt;""),O125&lt;&gt;""),1,0))</f>
        <v/>
      </c>
      <c r="S125" s="13">
        <f>IF(R125="","",IF(R125&gt;=6,"A",IF(R125&gt;=4,"B","C")))</f>
        <v/>
      </c>
      <c r="T125" s="10" t="n"/>
      <c r="U125" s="14" t="n"/>
      <c r="V125" s="10" t="n"/>
      <c r="W125" s="10" t="n"/>
    </row>
    <row r="126">
      <c r="A126" s="10" t="n"/>
      <c r="B126" s="10" t="n"/>
      <c r="C126" s="10" t="n"/>
      <c r="D126" s="10" t="n"/>
      <c r="E126" s="10" t="n"/>
      <c r="F126" s="11" t="n"/>
      <c r="G126" s="10" t="n"/>
      <c r="H126" s="12" t="n"/>
      <c r="I126" s="11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3">
        <f>IF(A126="","",IF(AND(N(F126)&gt;=3000,G126&lt;&gt;"Yes"),3,0)+IF(J126="Yes",2,0)+IF(OR(D126="1 venue",D126="2-6 venues"),1,0)+IF(OR(B126="Specialty coffee",B126="Brunch / cafe",B126="Dessert / bakery"),1,0)+IF(AND(N(H126)&gt;=4.3,N(I126)&gt;=50),1,0)+IF(AND(OR(M126&lt;&gt;"",N126&lt;&gt;""),O126&lt;&gt;""),1,0))</f>
        <v/>
      </c>
      <c r="S126" s="13">
        <f>IF(R126="","",IF(R126&gt;=6,"A",IF(R126&gt;=4,"B","C")))</f>
        <v/>
      </c>
      <c r="T126" s="10" t="n"/>
      <c r="U126" s="14" t="n"/>
      <c r="V126" s="10" t="n"/>
      <c r="W126" s="10" t="n"/>
    </row>
    <row r="127">
      <c r="A127" s="10" t="n"/>
      <c r="B127" s="10" t="n"/>
      <c r="C127" s="10" t="n"/>
      <c r="D127" s="10" t="n"/>
      <c r="E127" s="10" t="n"/>
      <c r="F127" s="11" t="n"/>
      <c r="G127" s="10" t="n"/>
      <c r="H127" s="12" t="n"/>
      <c r="I127" s="11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3">
        <f>IF(A127="","",IF(AND(N(F127)&gt;=3000,G127&lt;&gt;"Yes"),3,0)+IF(J127="Yes",2,0)+IF(OR(D127="1 venue",D127="2-6 venues"),1,0)+IF(OR(B127="Specialty coffee",B127="Brunch / cafe",B127="Dessert / bakery"),1,0)+IF(AND(N(H127)&gt;=4.3,N(I127)&gt;=50),1,0)+IF(AND(OR(M127&lt;&gt;"",N127&lt;&gt;""),O127&lt;&gt;""),1,0))</f>
        <v/>
      </c>
      <c r="S127" s="13">
        <f>IF(R127="","",IF(R127&gt;=6,"A",IF(R127&gt;=4,"B","C")))</f>
        <v/>
      </c>
      <c r="T127" s="10" t="n"/>
      <c r="U127" s="14" t="n"/>
      <c r="V127" s="10" t="n"/>
      <c r="W127" s="10" t="n"/>
    </row>
    <row r="128">
      <c r="A128" s="10" t="n"/>
      <c r="B128" s="10" t="n"/>
      <c r="C128" s="10" t="n"/>
      <c r="D128" s="10" t="n"/>
      <c r="E128" s="10" t="n"/>
      <c r="F128" s="11" t="n"/>
      <c r="G128" s="10" t="n"/>
      <c r="H128" s="12" t="n"/>
      <c r="I128" s="11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3">
        <f>IF(A128="","",IF(AND(N(F128)&gt;=3000,G128&lt;&gt;"Yes"),3,0)+IF(J128="Yes",2,0)+IF(OR(D128="1 venue",D128="2-6 venues"),1,0)+IF(OR(B128="Specialty coffee",B128="Brunch / cafe",B128="Dessert / bakery"),1,0)+IF(AND(N(H128)&gt;=4.3,N(I128)&gt;=50),1,0)+IF(AND(OR(M128&lt;&gt;"",N128&lt;&gt;""),O128&lt;&gt;""),1,0))</f>
        <v/>
      </c>
      <c r="S128" s="13">
        <f>IF(R128="","",IF(R128&gt;=6,"A",IF(R128&gt;=4,"B","C")))</f>
        <v/>
      </c>
      <c r="T128" s="10" t="n"/>
      <c r="U128" s="14" t="n"/>
      <c r="V128" s="10" t="n"/>
      <c r="W128" s="10" t="n"/>
    </row>
    <row r="129">
      <c r="A129" s="10" t="n"/>
      <c r="B129" s="10" t="n"/>
      <c r="C129" s="10" t="n"/>
      <c r="D129" s="10" t="n"/>
      <c r="E129" s="10" t="n"/>
      <c r="F129" s="11" t="n"/>
      <c r="G129" s="10" t="n"/>
      <c r="H129" s="12" t="n"/>
      <c r="I129" s="11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3">
        <f>IF(A129="","",IF(AND(N(F129)&gt;=3000,G129&lt;&gt;"Yes"),3,0)+IF(J129="Yes",2,0)+IF(OR(D129="1 venue",D129="2-6 venues"),1,0)+IF(OR(B129="Specialty coffee",B129="Brunch / cafe",B129="Dessert / bakery"),1,0)+IF(AND(N(H129)&gt;=4.3,N(I129)&gt;=50),1,0)+IF(AND(OR(M129&lt;&gt;"",N129&lt;&gt;""),O129&lt;&gt;""),1,0))</f>
        <v/>
      </c>
      <c r="S129" s="13">
        <f>IF(R129="","",IF(R129&gt;=6,"A",IF(R129&gt;=4,"B","C")))</f>
        <v/>
      </c>
      <c r="T129" s="10" t="n"/>
      <c r="U129" s="14" t="n"/>
      <c r="V129" s="10" t="n"/>
      <c r="W129" s="10" t="n"/>
    </row>
    <row r="130">
      <c r="A130" s="10" t="n"/>
      <c r="B130" s="10" t="n"/>
      <c r="C130" s="10" t="n"/>
      <c r="D130" s="10" t="n"/>
      <c r="E130" s="10" t="n"/>
      <c r="F130" s="11" t="n"/>
      <c r="G130" s="10" t="n"/>
      <c r="H130" s="12" t="n"/>
      <c r="I130" s="11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3">
        <f>IF(A130="","",IF(AND(N(F130)&gt;=3000,G130&lt;&gt;"Yes"),3,0)+IF(J130="Yes",2,0)+IF(OR(D130="1 venue",D130="2-6 venues"),1,0)+IF(OR(B130="Specialty coffee",B130="Brunch / cafe",B130="Dessert / bakery"),1,0)+IF(AND(N(H130)&gt;=4.3,N(I130)&gt;=50),1,0)+IF(AND(OR(M130&lt;&gt;"",N130&lt;&gt;""),O130&lt;&gt;""),1,0))</f>
        <v/>
      </c>
      <c r="S130" s="13">
        <f>IF(R130="","",IF(R130&gt;=6,"A",IF(R130&gt;=4,"B","C")))</f>
        <v/>
      </c>
      <c r="T130" s="10" t="n"/>
      <c r="U130" s="14" t="n"/>
      <c r="V130" s="10" t="n"/>
      <c r="W130" s="10" t="n"/>
    </row>
    <row r="131">
      <c r="A131" s="10" t="n"/>
      <c r="B131" s="10" t="n"/>
      <c r="C131" s="10" t="n"/>
      <c r="D131" s="10" t="n"/>
      <c r="E131" s="10" t="n"/>
      <c r="F131" s="11" t="n"/>
      <c r="G131" s="10" t="n"/>
      <c r="H131" s="12" t="n"/>
      <c r="I131" s="11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3">
        <f>IF(A131="","",IF(AND(N(F131)&gt;=3000,G131&lt;&gt;"Yes"),3,0)+IF(J131="Yes",2,0)+IF(OR(D131="1 venue",D131="2-6 venues"),1,0)+IF(OR(B131="Specialty coffee",B131="Brunch / cafe",B131="Dessert / bakery"),1,0)+IF(AND(N(H131)&gt;=4.3,N(I131)&gt;=50),1,0)+IF(AND(OR(M131&lt;&gt;"",N131&lt;&gt;""),O131&lt;&gt;""),1,0))</f>
        <v/>
      </c>
      <c r="S131" s="13">
        <f>IF(R131="","",IF(R131&gt;=6,"A",IF(R131&gt;=4,"B","C")))</f>
        <v/>
      </c>
      <c r="T131" s="10" t="n"/>
      <c r="U131" s="14" t="n"/>
      <c r="V131" s="10" t="n"/>
      <c r="W131" s="10" t="n"/>
    </row>
    <row r="132">
      <c r="A132" s="10" t="n"/>
      <c r="B132" s="10" t="n"/>
      <c r="C132" s="10" t="n"/>
      <c r="D132" s="10" t="n"/>
      <c r="E132" s="10" t="n"/>
      <c r="F132" s="11" t="n"/>
      <c r="G132" s="10" t="n"/>
      <c r="H132" s="12" t="n"/>
      <c r="I132" s="11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3">
        <f>IF(A132="","",IF(AND(N(F132)&gt;=3000,G132&lt;&gt;"Yes"),3,0)+IF(J132="Yes",2,0)+IF(OR(D132="1 venue",D132="2-6 venues"),1,0)+IF(OR(B132="Specialty coffee",B132="Brunch / cafe",B132="Dessert / bakery"),1,0)+IF(AND(N(H132)&gt;=4.3,N(I132)&gt;=50),1,0)+IF(AND(OR(M132&lt;&gt;"",N132&lt;&gt;""),O132&lt;&gt;""),1,0))</f>
        <v/>
      </c>
      <c r="S132" s="13">
        <f>IF(R132="","",IF(R132&gt;=6,"A",IF(R132&gt;=4,"B","C")))</f>
        <v/>
      </c>
      <c r="T132" s="10" t="n"/>
      <c r="U132" s="14" t="n"/>
      <c r="V132" s="10" t="n"/>
      <c r="W132" s="10" t="n"/>
    </row>
    <row r="133">
      <c r="A133" s="10" t="n"/>
      <c r="B133" s="10" t="n"/>
      <c r="C133" s="10" t="n"/>
      <c r="D133" s="10" t="n"/>
      <c r="E133" s="10" t="n"/>
      <c r="F133" s="11" t="n"/>
      <c r="G133" s="10" t="n"/>
      <c r="H133" s="12" t="n"/>
      <c r="I133" s="11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3">
        <f>IF(A133="","",IF(AND(N(F133)&gt;=3000,G133&lt;&gt;"Yes"),3,0)+IF(J133="Yes",2,0)+IF(OR(D133="1 venue",D133="2-6 venues"),1,0)+IF(OR(B133="Specialty coffee",B133="Brunch / cafe",B133="Dessert / bakery"),1,0)+IF(AND(N(H133)&gt;=4.3,N(I133)&gt;=50),1,0)+IF(AND(OR(M133&lt;&gt;"",N133&lt;&gt;""),O133&lt;&gt;""),1,0))</f>
        <v/>
      </c>
      <c r="S133" s="13">
        <f>IF(R133="","",IF(R133&gt;=6,"A",IF(R133&gt;=4,"B","C")))</f>
        <v/>
      </c>
      <c r="T133" s="10" t="n"/>
      <c r="U133" s="14" t="n"/>
      <c r="V133" s="10" t="n"/>
      <c r="W133" s="10" t="n"/>
    </row>
    <row r="134">
      <c r="A134" s="10" t="n"/>
      <c r="B134" s="10" t="n"/>
      <c r="C134" s="10" t="n"/>
      <c r="D134" s="10" t="n"/>
      <c r="E134" s="10" t="n"/>
      <c r="F134" s="11" t="n"/>
      <c r="G134" s="10" t="n"/>
      <c r="H134" s="12" t="n"/>
      <c r="I134" s="11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3">
        <f>IF(A134="","",IF(AND(N(F134)&gt;=3000,G134&lt;&gt;"Yes"),3,0)+IF(J134="Yes",2,0)+IF(OR(D134="1 venue",D134="2-6 venues"),1,0)+IF(OR(B134="Specialty coffee",B134="Brunch / cafe",B134="Dessert / bakery"),1,0)+IF(AND(N(H134)&gt;=4.3,N(I134)&gt;=50),1,0)+IF(AND(OR(M134&lt;&gt;"",N134&lt;&gt;""),O134&lt;&gt;""),1,0))</f>
        <v/>
      </c>
      <c r="S134" s="13">
        <f>IF(R134="","",IF(R134&gt;=6,"A",IF(R134&gt;=4,"B","C")))</f>
        <v/>
      </c>
      <c r="T134" s="10" t="n"/>
      <c r="U134" s="14" t="n"/>
      <c r="V134" s="10" t="n"/>
      <c r="W134" s="10" t="n"/>
    </row>
    <row r="135">
      <c r="A135" s="10" t="n"/>
      <c r="B135" s="10" t="n"/>
      <c r="C135" s="10" t="n"/>
      <c r="D135" s="10" t="n"/>
      <c r="E135" s="10" t="n"/>
      <c r="F135" s="11" t="n"/>
      <c r="G135" s="10" t="n"/>
      <c r="H135" s="12" t="n"/>
      <c r="I135" s="11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3">
        <f>IF(A135="","",IF(AND(N(F135)&gt;=3000,G135&lt;&gt;"Yes"),3,0)+IF(J135="Yes",2,0)+IF(OR(D135="1 venue",D135="2-6 venues"),1,0)+IF(OR(B135="Specialty coffee",B135="Brunch / cafe",B135="Dessert / bakery"),1,0)+IF(AND(N(H135)&gt;=4.3,N(I135)&gt;=50),1,0)+IF(AND(OR(M135&lt;&gt;"",N135&lt;&gt;""),O135&lt;&gt;""),1,0))</f>
        <v/>
      </c>
      <c r="S135" s="13">
        <f>IF(R135="","",IF(R135&gt;=6,"A",IF(R135&gt;=4,"B","C")))</f>
        <v/>
      </c>
      <c r="T135" s="10" t="n"/>
      <c r="U135" s="14" t="n"/>
      <c r="V135" s="10" t="n"/>
      <c r="W135" s="10" t="n"/>
    </row>
    <row r="136">
      <c r="A136" s="10" t="n"/>
      <c r="B136" s="10" t="n"/>
      <c r="C136" s="10" t="n"/>
      <c r="D136" s="10" t="n"/>
      <c r="E136" s="10" t="n"/>
      <c r="F136" s="11" t="n"/>
      <c r="G136" s="10" t="n"/>
      <c r="H136" s="12" t="n"/>
      <c r="I136" s="11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3">
        <f>IF(A136="","",IF(AND(N(F136)&gt;=3000,G136&lt;&gt;"Yes"),3,0)+IF(J136="Yes",2,0)+IF(OR(D136="1 venue",D136="2-6 venues"),1,0)+IF(OR(B136="Specialty coffee",B136="Brunch / cafe",B136="Dessert / bakery"),1,0)+IF(AND(N(H136)&gt;=4.3,N(I136)&gt;=50),1,0)+IF(AND(OR(M136&lt;&gt;"",N136&lt;&gt;""),O136&lt;&gt;""),1,0))</f>
        <v/>
      </c>
      <c r="S136" s="13">
        <f>IF(R136="","",IF(R136&gt;=6,"A",IF(R136&gt;=4,"B","C")))</f>
        <v/>
      </c>
      <c r="T136" s="10" t="n"/>
      <c r="U136" s="14" t="n"/>
      <c r="V136" s="10" t="n"/>
      <c r="W136" s="10" t="n"/>
    </row>
    <row r="137">
      <c r="A137" s="10" t="n"/>
      <c r="B137" s="10" t="n"/>
      <c r="C137" s="10" t="n"/>
      <c r="D137" s="10" t="n"/>
      <c r="E137" s="10" t="n"/>
      <c r="F137" s="11" t="n"/>
      <c r="G137" s="10" t="n"/>
      <c r="H137" s="12" t="n"/>
      <c r="I137" s="11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3">
        <f>IF(A137="","",IF(AND(N(F137)&gt;=3000,G137&lt;&gt;"Yes"),3,0)+IF(J137="Yes",2,0)+IF(OR(D137="1 venue",D137="2-6 venues"),1,0)+IF(OR(B137="Specialty coffee",B137="Brunch / cafe",B137="Dessert / bakery"),1,0)+IF(AND(N(H137)&gt;=4.3,N(I137)&gt;=50),1,0)+IF(AND(OR(M137&lt;&gt;"",N137&lt;&gt;""),O137&lt;&gt;""),1,0))</f>
        <v/>
      </c>
      <c r="S137" s="13">
        <f>IF(R137="","",IF(R137&gt;=6,"A",IF(R137&gt;=4,"B","C")))</f>
        <v/>
      </c>
      <c r="T137" s="10" t="n"/>
      <c r="U137" s="14" t="n"/>
      <c r="V137" s="10" t="n"/>
      <c r="W137" s="10" t="n"/>
    </row>
    <row r="138">
      <c r="A138" s="10" t="n"/>
      <c r="B138" s="10" t="n"/>
      <c r="C138" s="10" t="n"/>
      <c r="D138" s="10" t="n"/>
      <c r="E138" s="10" t="n"/>
      <c r="F138" s="11" t="n"/>
      <c r="G138" s="10" t="n"/>
      <c r="H138" s="12" t="n"/>
      <c r="I138" s="11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3">
        <f>IF(A138="","",IF(AND(N(F138)&gt;=3000,G138&lt;&gt;"Yes"),3,0)+IF(J138="Yes",2,0)+IF(OR(D138="1 venue",D138="2-6 venues"),1,0)+IF(OR(B138="Specialty coffee",B138="Brunch / cafe",B138="Dessert / bakery"),1,0)+IF(AND(N(H138)&gt;=4.3,N(I138)&gt;=50),1,0)+IF(AND(OR(M138&lt;&gt;"",N138&lt;&gt;""),O138&lt;&gt;""),1,0))</f>
        <v/>
      </c>
      <c r="S138" s="13">
        <f>IF(R138="","",IF(R138&gt;=6,"A",IF(R138&gt;=4,"B","C")))</f>
        <v/>
      </c>
      <c r="T138" s="10" t="n"/>
      <c r="U138" s="14" t="n"/>
      <c r="V138" s="10" t="n"/>
      <c r="W138" s="10" t="n"/>
    </row>
    <row r="139">
      <c r="A139" s="10" t="n"/>
      <c r="B139" s="10" t="n"/>
      <c r="C139" s="10" t="n"/>
      <c r="D139" s="10" t="n"/>
      <c r="E139" s="10" t="n"/>
      <c r="F139" s="11" t="n"/>
      <c r="G139" s="10" t="n"/>
      <c r="H139" s="12" t="n"/>
      <c r="I139" s="11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3">
        <f>IF(A139="","",IF(AND(N(F139)&gt;=3000,G139&lt;&gt;"Yes"),3,0)+IF(J139="Yes",2,0)+IF(OR(D139="1 venue",D139="2-6 venues"),1,0)+IF(OR(B139="Specialty coffee",B139="Brunch / cafe",B139="Dessert / bakery"),1,0)+IF(AND(N(H139)&gt;=4.3,N(I139)&gt;=50),1,0)+IF(AND(OR(M139&lt;&gt;"",N139&lt;&gt;""),O139&lt;&gt;""),1,0))</f>
        <v/>
      </c>
      <c r="S139" s="13">
        <f>IF(R139="","",IF(R139&gt;=6,"A",IF(R139&gt;=4,"B","C")))</f>
        <v/>
      </c>
      <c r="T139" s="10" t="n"/>
      <c r="U139" s="14" t="n"/>
      <c r="V139" s="10" t="n"/>
      <c r="W139" s="10" t="n"/>
    </row>
    <row r="140">
      <c r="A140" s="10" t="n"/>
      <c r="B140" s="10" t="n"/>
      <c r="C140" s="10" t="n"/>
      <c r="D140" s="10" t="n"/>
      <c r="E140" s="10" t="n"/>
      <c r="F140" s="11" t="n"/>
      <c r="G140" s="10" t="n"/>
      <c r="H140" s="12" t="n"/>
      <c r="I140" s="11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3">
        <f>IF(A140="","",IF(AND(N(F140)&gt;=3000,G140&lt;&gt;"Yes"),3,0)+IF(J140="Yes",2,0)+IF(OR(D140="1 venue",D140="2-6 venues"),1,0)+IF(OR(B140="Specialty coffee",B140="Brunch / cafe",B140="Dessert / bakery"),1,0)+IF(AND(N(H140)&gt;=4.3,N(I140)&gt;=50),1,0)+IF(AND(OR(M140&lt;&gt;"",N140&lt;&gt;""),O140&lt;&gt;""),1,0))</f>
        <v/>
      </c>
      <c r="S140" s="13">
        <f>IF(R140="","",IF(R140&gt;=6,"A",IF(R140&gt;=4,"B","C")))</f>
        <v/>
      </c>
      <c r="T140" s="10" t="n"/>
      <c r="U140" s="14" t="n"/>
      <c r="V140" s="10" t="n"/>
      <c r="W140" s="10" t="n"/>
    </row>
    <row r="141">
      <c r="A141" s="10" t="n"/>
      <c r="B141" s="10" t="n"/>
      <c r="C141" s="10" t="n"/>
      <c r="D141" s="10" t="n"/>
      <c r="E141" s="10" t="n"/>
      <c r="F141" s="11" t="n"/>
      <c r="G141" s="10" t="n"/>
      <c r="H141" s="12" t="n"/>
      <c r="I141" s="11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3">
        <f>IF(A141="","",IF(AND(N(F141)&gt;=3000,G141&lt;&gt;"Yes"),3,0)+IF(J141="Yes",2,0)+IF(OR(D141="1 venue",D141="2-6 venues"),1,0)+IF(OR(B141="Specialty coffee",B141="Brunch / cafe",B141="Dessert / bakery"),1,0)+IF(AND(N(H141)&gt;=4.3,N(I141)&gt;=50),1,0)+IF(AND(OR(M141&lt;&gt;"",N141&lt;&gt;""),O141&lt;&gt;""),1,0))</f>
        <v/>
      </c>
      <c r="S141" s="13">
        <f>IF(R141="","",IF(R141&gt;=6,"A",IF(R141&gt;=4,"B","C")))</f>
        <v/>
      </c>
      <c r="T141" s="10" t="n"/>
      <c r="U141" s="14" t="n"/>
      <c r="V141" s="10" t="n"/>
      <c r="W141" s="10" t="n"/>
    </row>
    <row r="142">
      <c r="A142" s="10" t="n"/>
      <c r="B142" s="10" t="n"/>
      <c r="C142" s="10" t="n"/>
      <c r="D142" s="10" t="n"/>
      <c r="E142" s="10" t="n"/>
      <c r="F142" s="11" t="n"/>
      <c r="G142" s="10" t="n"/>
      <c r="H142" s="12" t="n"/>
      <c r="I142" s="11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3">
        <f>IF(A142="","",IF(AND(N(F142)&gt;=3000,G142&lt;&gt;"Yes"),3,0)+IF(J142="Yes",2,0)+IF(OR(D142="1 venue",D142="2-6 venues"),1,0)+IF(OR(B142="Specialty coffee",B142="Brunch / cafe",B142="Dessert / bakery"),1,0)+IF(AND(N(H142)&gt;=4.3,N(I142)&gt;=50),1,0)+IF(AND(OR(M142&lt;&gt;"",N142&lt;&gt;""),O142&lt;&gt;""),1,0))</f>
        <v/>
      </c>
      <c r="S142" s="13">
        <f>IF(R142="","",IF(R142&gt;=6,"A",IF(R142&gt;=4,"B","C")))</f>
        <v/>
      </c>
      <c r="T142" s="10" t="n"/>
      <c r="U142" s="14" t="n"/>
      <c r="V142" s="10" t="n"/>
      <c r="W142" s="10" t="n"/>
    </row>
    <row r="143">
      <c r="A143" s="10" t="n"/>
      <c r="B143" s="10" t="n"/>
      <c r="C143" s="10" t="n"/>
      <c r="D143" s="10" t="n"/>
      <c r="E143" s="10" t="n"/>
      <c r="F143" s="11" t="n"/>
      <c r="G143" s="10" t="n"/>
      <c r="H143" s="12" t="n"/>
      <c r="I143" s="11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3">
        <f>IF(A143="","",IF(AND(N(F143)&gt;=3000,G143&lt;&gt;"Yes"),3,0)+IF(J143="Yes",2,0)+IF(OR(D143="1 venue",D143="2-6 venues"),1,0)+IF(OR(B143="Specialty coffee",B143="Brunch / cafe",B143="Dessert / bakery"),1,0)+IF(AND(N(H143)&gt;=4.3,N(I143)&gt;=50),1,0)+IF(AND(OR(M143&lt;&gt;"",N143&lt;&gt;""),O143&lt;&gt;""),1,0))</f>
        <v/>
      </c>
      <c r="S143" s="13">
        <f>IF(R143="","",IF(R143&gt;=6,"A",IF(R143&gt;=4,"B","C")))</f>
        <v/>
      </c>
      <c r="T143" s="10" t="n"/>
      <c r="U143" s="14" t="n"/>
      <c r="V143" s="10" t="n"/>
      <c r="W143" s="10" t="n"/>
    </row>
    <row r="144">
      <c r="A144" s="10" t="n"/>
      <c r="B144" s="10" t="n"/>
      <c r="C144" s="10" t="n"/>
      <c r="D144" s="10" t="n"/>
      <c r="E144" s="10" t="n"/>
      <c r="F144" s="11" t="n"/>
      <c r="G144" s="10" t="n"/>
      <c r="H144" s="12" t="n"/>
      <c r="I144" s="11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3">
        <f>IF(A144="","",IF(AND(N(F144)&gt;=3000,G144&lt;&gt;"Yes"),3,0)+IF(J144="Yes",2,0)+IF(OR(D144="1 venue",D144="2-6 venues"),1,0)+IF(OR(B144="Specialty coffee",B144="Brunch / cafe",B144="Dessert / bakery"),1,0)+IF(AND(N(H144)&gt;=4.3,N(I144)&gt;=50),1,0)+IF(AND(OR(M144&lt;&gt;"",N144&lt;&gt;""),O144&lt;&gt;""),1,0))</f>
        <v/>
      </c>
      <c r="S144" s="13">
        <f>IF(R144="","",IF(R144&gt;=6,"A",IF(R144&gt;=4,"B","C")))</f>
        <v/>
      </c>
      <c r="T144" s="10" t="n"/>
      <c r="U144" s="14" t="n"/>
      <c r="V144" s="10" t="n"/>
      <c r="W144" s="10" t="n"/>
    </row>
    <row r="145">
      <c r="A145" s="10" t="n"/>
      <c r="B145" s="10" t="n"/>
      <c r="C145" s="10" t="n"/>
      <c r="D145" s="10" t="n"/>
      <c r="E145" s="10" t="n"/>
      <c r="F145" s="11" t="n"/>
      <c r="G145" s="10" t="n"/>
      <c r="H145" s="12" t="n"/>
      <c r="I145" s="11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3">
        <f>IF(A145="","",IF(AND(N(F145)&gt;=3000,G145&lt;&gt;"Yes"),3,0)+IF(J145="Yes",2,0)+IF(OR(D145="1 venue",D145="2-6 venues"),1,0)+IF(OR(B145="Specialty coffee",B145="Brunch / cafe",B145="Dessert / bakery"),1,0)+IF(AND(N(H145)&gt;=4.3,N(I145)&gt;=50),1,0)+IF(AND(OR(M145&lt;&gt;"",N145&lt;&gt;""),O145&lt;&gt;""),1,0))</f>
        <v/>
      </c>
      <c r="S145" s="13">
        <f>IF(R145="","",IF(R145&gt;=6,"A",IF(R145&gt;=4,"B","C")))</f>
        <v/>
      </c>
      <c r="T145" s="10" t="n"/>
      <c r="U145" s="14" t="n"/>
      <c r="V145" s="10" t="n"/>
      <c r="W145" s="10" t="n"/>
    </row>
    <row r="146">
      <c r="A146" s="10" t="n"/>
      <c r="B146" s="10" t="n"/>
      <c r="C146" s="10" t="n"/>
      <c r="D146" s="10" t="n"/>
      <c r="E146" s="10" t="n"/>
      <c r="F146" s="11" t="n"/>
      <c r="G146" s="10" t="n"/>
      <c r="H146" s="12" t="n"/>
      <c r="I146" s="11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3">
        <f>IF(A146="","",IF(AND(N(F146)&gt;=3000,G146&lt;&gt;"Yes"),3,0)+IF(J146="Yes",2,0)+IF(OR(D146="1 venue",D146="2-6 venues"),1,0)+IF(OR(B146="Specialty coffee",B146="Brunch / cafe",B146="Dessert / bakery"),1,0)+IF(AND(N(H146)&gt;=4.3,N(I146)&gt;=50),1,0)+IF(AND(OR(M146&lt;&gt;"",N146&lt;&gt;""),O146&lt;&gt;""),1,0))</f>
        <v/>
      </c>
      <c r="S146" s="13">
        <f>IF(R146="","",IF(R146&gt;=6,"A",IF(R146&gt;=4,"B","C")))</f>
        <v/>
      </c>
      <c r="T146" s="10" t="n"/>
      <c r="U146" s="14" t="n"/>
      <c r="V146" s="10" t="n"/>
      <c r="W146" s="10" t="n"/>
    </row>
    <row r="147">
      <c r="A147" s="10" t="n"/>
      <c r="B147" s="10" t="n"/>
      <c r="C147" s="10" t="n"/>
      <c r="D147" s="10" t="n"/>
      <c r="E147" s="10" t="n"/>
      <c r="F147" s="11" t="n"/>
      <c r="G147" s="10" t="n"/>
      <c r="H147" s="12" t="n"/>
      <c r="I147" s="11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3">
        <f>IF(A147="","",IF(AND(N(F147)&gt;=3000,G147&lt;&gt;"Yes"),3,0)+IF(J147="Yes",2,0)+IF(OR(D147="1 venue",D147="2-6 venues"),1,0)+IF(OR(B147="Specialty coffee",B147="Brunch / cafe",B147="Dessert / bakery"),1,0)+IF(AND(N(H147)&gt;=4.3,N(I147)&gt;=50),1,0)+IF(AND(OR(M147&lt;&gt;"",N147&lt;&gt;""),O147&lt;&gt;""),1,0))</f>
        <v/>
      </c>
      <c r="S147" s="13">
        <f>IF(R147="","",IF(R147&gt;=6,"A",IF(R147&gt;=4,"B","C")))</f>
        <v/>
      </c>
      <c r="T147" s="10" t="n"/>
      <c r="U147" s="14" t="n"/>
      <c r="V147" s="10" t="n"/>
      <c r="W147" s="10" t="n"/>
    </row>
    <row r="148">
      <c r="A148" s="10" t="n"/>
      <c r="B148" s="10" t="n"/>
      <c r="C148" s="10" t="n"/>
      <c r="D148" s="10" t="n"/>
      <c r="E148" s="10" t="n"/>
      <c r="F148" s="11" t="n"/>
      <c r="G148" s="10" t="n"/>
      <c r="H148" s="12" t="n"/>
      <c r="I148" s="11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3">
        <f>IF(A148="","",IF(AND(N(F148)&gt;=3000,G148&lt;&gt;"Yes"),3,0)+IF(J148="Yes",2,0)+IF(OR(D148="1 venue",D148="2-6 venues"),1,0)+IF(OR(B148="Specialty coffee",B148="Brunch / cafe",B148="Dessert / bakery"),1,0)+IF(AND(N(H148)&gt;=4.3,N(I148)&gt;=50),1,0)+IF(AND(OR(M148&lt;&gt;"",N148&lt;&gt;""),O148&lt;&gt;""),1,0))</f>
        <v/>
      </c>
      <c r="S148" s="13">
        <f>IF(R148="","",IF(R148&gt;=6,"A",IF(R148&gt;=4,"B","C")))</f>
        <v/>
      </c>
      <c r="T148" s="10" t="n"/>
      <c r="U148" s="14" t="n"/>
      <c r="V148" s="10" t="n"/>
      <c r="W148" s="10" t="n"/>
    </row>
    <row r="149">
      <c r="A149" s="10" t="n"/>
      <c r="B149" s="10" t="n"/>
      <c r="C149" s="10" t="n"/>
      <c r="D149" s="10" t="n"/>
      <c r="E149" s="10" t="n"/>
      <c r="F149" s="11" t="n"/>
      <c r="G149" s="10" t="n"/>
      <c r="H149" s="12" t="n"/>
      <c r="I149" s="11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3">
        <f>IF(A149="","",IF(AND(N(F149)&gt;=3000,G149&lt;&gt;"Yes"),3,0)+IF(J149="Yes",2,0)+IF(OR(D149="1 venue",D149="2-6 venues"),1,0)+IF(OR(B149="Specialty coffee",B149="Brunch / cafe",B149="Dessert / bakery"),1,0)+IF(AND(N(H149)&gt;=4.3,N(I149)&gt;=50),1,0)+IF(AND(OR(M149&lt;&gt;"",N149&lt;&gt;""),O149&lt;&gt;""),1,0))</f>
        <v/>
      </c>
      <c r="S149" s="13">
        <f>IF(R149="","",IF(R149&gt;=6,"A",IF(R149&gt;=4,"B","C")))</f>
        <v/>
      </c>
      <c r="T149" s="10" t="n"/>
      <c r="U149" s="14" t="n"/>
      <c r="V149" s="10" t="n"/>
      <c r="W149" s="10" t="n"/>
    </row>
    <row r="150">
      <c r="A150" s="10" t="n"/>
      <c r="B150" s="10" t="n"/>
      <c r="C150" s="10" t="n"/>
      <c r="D150" s="10" t="n"/>
      <c r="E150" s="10" t="n"/>
      <c r="F150" s="11" t="n"/>
      <c r="G150" s="10" t="n"/>
      <c r="H150" s="12" t="n"/>
      <c r="I150" s="11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3">
        <f>IF(A150="","",IF(AND(N(F150)&gt;=3000,G150&lt;&gt;"Yes"),3,0)+IF(J150="Yes",2,0)+IF(OR(D150="1 venue",D150="2-6 venues"),1,0)+IF(OR(B150="Specialty coffee",B150="Brunch / cafe",B150="Dessert / bakery"),1,0)+IF(AND(N(H150)&gt;=4.3,N(I150)&gt;=50),1,0)+IF(AND(OR(M150&lt;&gt;"",N150&lt;&gt;""),O150&lt;&gt;""),1,0))</f>
        <v/>
      </c>
      <c r="S150" s="13">
        <f>IF(R150="","",IF(R150&gt;=6,"A",IF(R150&gt;=4,"B","C")))</f>
        <v/>
      </c>
      <c r="T150" s="10" t="n"/>
      <c r="U150" s="14" t="n"/>
      <c r="V150" s="10" t="n"/>
      <c r="W150" s="10" t="n"/>
    </row>
    <row r="151">
      <c r="A151" s="10" t="n"/>
      <c r="B151" s="10" t="n"/>
      <c r="C151" s="10" t="n"/>
      <c r="D151" s="10" t="n"/>
      <c r="E151" s="10" t="n"/>
      <c r="F151" s="11" t="n"/>
      <c r="G151" s="10" t="n"/>
      <c r="H151" s="12" t="n"/>
      <c r="I151" s="11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3">
        <f>IF(A151="","",IF(AND(N(F151)&gt;=3000,G151&lt;&gt;"Yes"),3,0)+IF(J151="Yes",2,0)+IF(OR(D151="1 venue",D151="2-6 venues"),1,0)+IF(OR(B151="Specialty coffee",B151="Brunch / cafe",B151="Dessert / bakery"),1,0)+IF(AND(N(H151)&gt;=4.3,N(I151)&gt;=50),1,0)+IF(AND(OR(M151&lt;&gt;"",N151&lt;&gt;""),O151&lt;&gt;""),1,0))</f>
        <v/>
      </c>
      <c r="S151" s="13">
        <f>IF(R151="","",IF(R151&gt;=6,"A",IF(R151&gt;=4,"B","C")))</f>
        <v/>
      </c>
      <c r="T151" s="10" t="n"/>
      <c r="U151" s="14" t="n"/>
      <c r="V151" s="10" t="n"/>
      <c r="W151" s="10" t="n"/>
    </row>
    <row r="152">
      <c r="A152" s="10" t="n"/>
      <c r="B152" s="10" t="n"/>
      <c r="C152" s="10" t="n"/>
      <c r="D152" s="10" t="n"/>
      <c r="E152" s="10" t="n"/>
      <c r="F152" s="11" t="n"/>
      <c r="G152" s="10" t="n"/>
      <c r="H152" s="12" t="n"/>
      <c r="I152" s="11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3">
        <f>IF(A152="","",IF(AND(N(F152)&gt;=3000,G152&lt;&gt;"Yes"),3,0)+IF(J152="Yes",2,0)+IF(OR(D152="1 venue",D152="2-6 venues"),1,0)+IF(OR(B152="Specialty coffee",B152="Brunch / cafe",B152="Dessert / bakery"),1,0)+IF(AND(N(H152)&gt;=4.3,N(I152)&gt;=50),1,0)+IF(AND(OR(M152&lt;&gt;"",N152&lt;&gt;""),O152&lt;&gt;""),1,0))</f>
        <v/>
      </c>
      <c r="S152" s="13">
        <f>IF(R152="","",IF(R152&gt;=6,"A",IF(R152&gt;=4,"B","C")))</f>
        <v/>
      </c>
      <c r="T152" s="10" t="n"/>
      <c r="U152" s="14" t="n"/>
      <c r="V152" s="10" t="n"/>
      <c r="W152" s="10" t="n"/>
    </row>
    <row r="153">
      <c r="A153" s="10" t="n"/>
      <c r="B153" s="10" t="n"/>
      <c r="C153" s="10" t="n"/>
      <c r="D153" s="10" t="n"/>
      <c r="E153" s="10" t="n"/>
      <c r="F153" s="11" t="n"/>
      <c r="G153" s="10" t="n"/>
      <c r="H153" s="12" t="n"/>
      <c r="I153" s="11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3">
        <f>IF(A153="","",IF(AND(N(F153)&gt;=3000,G153&lt;&gt;"Yes"),3,0)+IF(J153="Yes",2,0)+IF(OR(D153="1 venue",D153="2-6 venues"),1,0)+IF(OR(B153="Specialty coffee",B153="Brunch / cafe",B153="Dessert / bakery"),1,0)+IF(AND(N(H153)&gt;=4.3,N(I153)&gt;=50),1,0)+IF(AND(OR(M153&lt;&gt;"",N153&lt;&gt;""),O153&lt;&gt;""),1,0))</f>
        <v/>
      </c>
      <c r="S153" s="13">
        <f>IF(R153="","",IF(R153&gt;=6,"A",IF(R153&gt;=4,"B","C")))</f>
        <v/>
      </c>
      <c r="T153" s="10" t="n"/>
      <c r="U153" s="14" t="n"/>
      <c r="V153" s="10" t="n"/>
      <c r="W153" s="10" t="n"/>
    </row>
    <row r="154">
      <c r="A154" s="10" t="n"/>
      <c r="B154" s="10" t="n"/>
      <c r="C154" s="10" t="n"/>
      <c r="D154" s="10" t="n"/>
      <c r="E154" s="10" t="n"/>
      <c r="F154" s="11" t="n"/>
      <c r="G154" s="10" t="n"/>
      <c r="H154" s="12" t="n"/>
      <c r="I154" s="11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3">
        <f>IF(A154="","",IF(AND(N(F154)&gt;=3000,G154&lt;&gt;"Yes"),3,0)+IF(J154="Yes",2,0)+IF(OR(D154="1 venue",D154="2-6 venues"),1,0)+IF(OR(B154="Specialty coffee",B154="Brunch / cafe",B154="Dessert / bakery"),1,0)+IF(AND(N(H154)&gt;=4.3,N(I154)&gt;=50),1,0)+IF(AND(OR(M154&lt;&gt;"",N154&lt;&gt;""),O154&lt;&gt;""),1,0))</f>
        <v/>
      </c>
      <c r="S154" s="13">
        <f>IF(R154="","",IF(R154&gt;=6,"A",IF(R154&gt;=4,"B","C")))</f>
        <v/>
      </c>
      <c r="T154" s="10" t="n"/>
      <c r="U154" s="14" t="n"/>
      <c r="V154" s="10" t="n"/>
      <c r="W154" s="10" t="n"/>
    </row>
    <row r="155">
      <c r="A155" s="10" t="n"/>
      <c r="B155" s="10" t="n"/>
      <c r="C155" s="10" t="n"/>
      <c r="D155" s="10" t="n"/>
      <c r="E155" s="10" t="n"/>
      <c r="F155" s="11" t="n"/>
      <c r="G155" s="10" t="n"/>
      <c r="H155" s="12" t="n"/>
      <c r="I155" s="11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3">
        <f>IF(A155="","",IF(AND(N(F155)&gt;=3000,G155&lt;&gt;"Yes"),3,0)+IF(J155="Yes",2,0)+IF(OR(D155="1 venue",D155="2-6 venues"),1,0)+IF(OR(B155="Specialty coffee",B155="Brunch / cafe",B155="Dessert / bakery"),1,0)+IF(AND(N(H155)&gt;=4.3,N(I155)&gt;=50),1,0)+IF(AND(OR(M155&lt;&gt;"",N155&lt;&gt;""),O155&lt;&gt;""),1,0))</f>
        <v/>
      </c>
      <c r="S155" s="13">
        <f>IF(R155="","",IF(R155&gt;=6,"A",IF(R155&gt;=4,"B","C")))</f>
        <v/>
      </c>
      <c r="T155" s="10" t="n"/>
      <c r="U155" s="14" t="n"/>
      <c r="V155" s="10" t="n"/>
      <c r="W155" s="10" t="n"/>
    </row>
    <row r="156">
      <c r="A156" s="10" t="n"/>
      <c r="B156" s="10" t="n"/>
      <c r="C156" s="10" t="n"/>
      <c r="D156" s="10" t="n"/>
      <c r="E156" s="10" t="n"/>
      <c r="F156" s="11" t="n"/>
      <c r="G156" s="10" t="n"/>
      <c r="H156" s="12" t="n"/>
      <c r="I156" s="11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3">
        <f>IF(A156="","",IF(AND(N(F156)&gt;=3000,G156&lt;&gt;"Yes"),3,0)+IF(J156="Yes",2,0)+IF(OR(D156="1 venue",D156="2-6 venues"),1,0)+IF(OR(B156="Specialty coffee",B156="Brunch / cafe",B156="Dessert / bakery"),1,0)+IF(AND(N(H156)&gt;=4.3,N(I156)&gt;=50),1,0)+IF(AND(OR(M156&lt;&gt;"",N156&lt;&gt;""),O156&lt;&gt;""),1,0))</f>
        <v/>
      </c>
      <c r="S156" s="13">
        <f>IF(R156="","",IF(R156&gt;=6,"A",IF(R156&gt;=4,"B","C")))</f>
        <v/>
      </c>
      <c r="T156" s="10" t="n"/>
      <c r="U156" s="14" t="n"/>
      <c r="V156" s="10" t="n"/>
      <c r="W156" s="10" t="n"/>
    </row>
    <row r="157">
      <c r="A157" s="10" t="n"/>
      <c r="B157" s="10" t="n"/>
      <c r="C157" s="10" t="n"/>
      <c r="D157" s="10" t="n"/>
      <c r="E157" s="10" t="n"/>
      <c r="F157" s="11" t="n"/>
      <c r="G157" s="10" t="n"/>
      <c r="H157" s="12" t="n"/>
      <c r="I157" s="11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3">
        <f>IF(A157="","",IF(AND(N(F157)&gt;=3000,G157&lt;&gt;"Yes"),3,0)+IF(J157="Yes",2,0)+IF(OR(D157="1 venue",D157="2-6 venues"),1,0)+IF(OR(B157="Specialty coffee",B157="Brunch / cafe",B157="Dessert / bakery"),1,0)+IF(AND(N(H157)&gt;=4.3,N(I157)&gt;=50),1,0)+IF(AND(OR(M157&lt;&gt;"",N157&lt;&gt;""),O157&lt;&gt;""),1,0))</f>
        <v/>
      </c>
      <c r="S157" s="13">
        <f>IF(R157="","",IF(R157&gt;=6,"A",IF(R157&gt;=4,"B","C")))</f>
        <v/>
      </c>
      <c r="T157" s="10" t="n"/>
      <c r="U157" s="14" t="n"/>
      <c r="V157" s="10" t="n"/>
      <c r="W157" s="10" t="n"/>
    </row>
    <row r="158">
      <c r="A158" s="10" t="n"/>
      <c r="B158" s="10" t="n"/>
      <c r="C158" s="10" t="n"/>
      <c r="D158" s="10" t="n"/>
      <c r="E158" s="10" t="n"/>
      <c r="F158" s="11" t="n"/>
      <c r="G158" s="10" t="n"/>
      <c r="H158" s="12" t="n"/>
      <c r="I158" s="11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3">
        <f>IF(A158="","",IF(AND(N(F158)&gt;=3000,G158&lt;&gt;"Yes"),3,0)+IF(J158="Yes",2,0)+IF(OR(D158="1 venue",D158="2-6 venues"),1,0)+IF(OR(B158="Specialty coffee",B158="Brunch / cafe",B158="Dessert / bakery"),1,0)+IF(AND(N(H158)&gt;=4.3,N(I158)&gt;=50),1,0)+IF(AND(OR(M158&lt;&gt;"",N158&lt;&gt;""),O158&lt;&gt;""),1,0))</f>
        <v/>
      </c>
      <c r="S158" s="13">
        <f>IF(R158="","",IF(R158&gt;=6,"A",IF(R158&gt;=4,"B","C")))</f>
        <v/>
      </c>
      <c r="T158" s="10" t="n"/>
      <c r="U158" s="14" t="n"/>
      <c r="V158" s="10" t="n"/>
      <c r="W158" s="10" t="n"/>
    </row>
    <row r="159">
      <c r="A159" s="10" t="n"/>
      <c r="B159" s="10" t="n"/>
      <c r="C159" s="10" t="n"/>
      <c r="D159" s="10" t="n"/>
      <c r="E159" s="10" t="n"/>
      <c r="F159" s="11" t="n"/>
      <c r="G159" s="10" t="n"/>
      <c r="H159" s="12" t="n"/>
      <c r="I159" s="11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3">
        <f>IF(A159="","",IF(AND(N(F159)&gt;=3000,G159&lt;&gt;"Yes"),3,0)+IF(J159="Yes",2,0)+IF(OR(D159="1 venue",D159="2-6 venues"),1,0)+IF(OR(B159="Specialty coffee",B159="Brunch / cafe",B159="Dessert / bakery"),1,0)+IF(AND(N(H159)&gt;=4.3,N(I159)&gt;=50),1,0)+IF(AND(OR(M159&lt;&gt;"",N159&lt;&gt;""),O159&lt;&gt;""),1,0))</f>
        <v/>
      </c>
      <c r="S159" s="13">
        <f>IF(R159="","",IF(R159&gt;=6,"A",IF(R159&gt;=4,"B","C")))</f>
        <v/>
      </c>
      <c r="T159" s="10" t="n"/>
      <c r="U159" s="14" t="n"/>
      <c r="V159" s="10" t="n"/>
      <c r="W159" s="10" t="n"/>
    </row>
    <row r="160">
      <c r="A160" s="10" t="n"/>
      <c r="B160" s="10" t="n"/>
      <c r="C160" s="10" t="n"/>
      <c r="D160" s="10" t="n"/>
      <c r="E160" s="10" t="n"/>
      <c r="F160" s="11" t="n"/>
      <c r="G160" s="10" t="n"/>
      <c r="H160" s="12" t="n"/>
      <c r="I160" s="11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3">
        <f>IF(A160="","",IF(AND(N(F160)&gt;=3000,G160&lt;&gt;"Yes"),3,0)+IF(J160="Yes",2,0)+IF(OR(D160="1 venue",D160="2-6 venues"),1,0)+IF(OR(B160="Specialty coffee",B160="Brunch / cafe",B160="Dessert / bakery"),1,0)+IF(AND(N(H160)&gt;=4.3,N(I160)&gt;=50),1,0)+IF(AND(OR(M160&lt;&gt;"",N160&lt;&gt;""),O160&lt;&gt;""),1,0))</f>
        <v/>
      </c>
      <c r="S160" s="13">
        <f>IF(R160="","",IF(R160&gt;=6,"A",IF(R160&gt;=4,"B","C")))</f>
        <v/>
      </c>
      <c r="T160" s="10" t="n"/>
      <c r="U160" s="14" t="n"/>
      <c r="V160" s="10" t="n"/>
      <c r="W160" s="10" t="n"/>
    </row>
    <row r="161">
      <c r="A161" s="10" t="n"/>
      <c r="B161" s="10" t="n"/>
      <c r="C161" s="10" t="n"/>
      <c r="D161" s="10" t="n"/>
      <c r="E161" s="10" t="n"/>
      <c r="F161" s="11" t="n"/>
      <c r="G161" s="10" t="n"/>
      <c r="H161" s="12" t="n"/>
      <c r="I161" s="11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3">
        <f>IF(A161="","",IF(AND(N(F161)&gt;=3000,G161&lt;&gt;"Yes"),3,0)+IF(J161="Yes",2,0)+IF(OR(D161="1 venue",D161="2-6 venues"),1,0)+IF(OR(B161="Specialty coffee",B161="Brunch / cafe",B161="Dessert / bakery"),1,0)+IF(AND(N(H161)&gt;=4.3,N(I161)&gt;=50),1,0)+IF(AND(OR(M161&lt;&gt;"",N161&lt;&gt;""),O161&lt;&gt;""),1,0))</f>
        <v/>
      </c>
      <c r="S161" s="13">
        <f>IF(R161="","",IF(R161&gt;=6,"A",IF(R161&gt;=4,"B","C")))</f>
        <v/>
      </c>
      <c r="T161" s="10" t="n"/>
      <c r="U161" s="14" t="n"/>
      <c r="V161" s="10" t="n"/>
      <c r="W161" s="10" t="n"/>
    </row>
    <row r="162">
      <c r="A162" s="10" t="n"/>
      <c r="B162" s="10" t="n"/>
      <c r="C162" s="10" t="n"/>
      <c r="D162" s="10" t="n"/>
      <c r="E162" s="10" t="n"/>
      <c r="F162" s="11" t="n"/>
      <c r="G162" s="10" t="n"/>
      <c r="H162" s="12" t="n"/>
      <c r="I162" s="11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3">
        <f>IF(A162="","",IF(AND(N(F162)&gt;=3000,G162&lt;&gt;"Yes"),3,0)+IF(J162="Yes",2,0)+IF(OR(D162="1 venue",D162="2-6 venues"),1,0)+IF(OR(B162="Specialty coffee",B162="Brunch / cafe",B162="Dessert / bakery"),1,0)+IF(AND(N(H162)&gt;=4.3,N(I162)&gt;=50),1,0)+IF(AND(OR(M162&lt;&gt;"",N162&lt;&gt;""),O162&lt;&gt;""),1,0))</f>
        <v/>
      </c>
      <c r="S162" s="13">
        <f>IF(R162="","",IF(R162&gt;=6,"A",IF(R162&gt;=4,"B","C")))</f>
        <v/>
      </c>
      <c r="T162" s="10" t="n"/>
      <c r="U162" s="14" t="n"/>
      <c r="V162" s="10" t="n"/>
      <c r="W162" s="10" t="n"/>
    </row>
    <row r="163">
      <c r="A163" s="10" t="n"/>
      <c r="B163" s="10" t="n"/>
      <c r="C163" s="10" t="n"/>
      <c r="D163" s="10" t="n"/>
      <c r="E163" s="10" t="n"/>
      <c r="F163" s="11" t="n"/>
      <c r="G163" s="10" t="n"/>
      <c r="H163" s="12" t="n"/>
      <c r="I163" s="11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3">
        <f>IF(A163="","",IF(AND(N(F163)&gt;=3000,G163&lt;&gt;"Yes"),3,0)+IF(J163="Yes",2,0)+IF(OR(D163="1 venue",D163="2-6 venues"),1,0)+IF(OR(B163="Specialty coffee",B163="Brunch / cafe",B163="Dessert / bakery"),1,0)+IF(AND(N(H163)&gt;=4.3,N(I163)&gt;=50),1,0)+IF(AND(OR(M163&lt;&gt;"",N163&lt;&gt;""),O163&lt;&gt;""),1,0))</f>
        <v/>
      </c>
      <c r="S163" s="13">
        <f>IF(R163="","",IF(R163&gt;=6,"A",IF(R163&gt;=4,"B","C")))</f>
        <v/>
      </c>
      <c r="T163" s="10" t="n"/>
      <c r="U163" s="14" t="n"/>
      <c r="V163" s="10" t="n"/>
      <c r="W163" s="10" t="n"/>
    </row>
    <row r="164">
      <c r="A164" s="10" t="n"/>
      <c r="B164" s="10" t="n"/>
      <c r="C164" s="10" t="n"/>
      <c r="D164" s="10" t="n"/>
      <c r="E164" s="10" t="n"/>
      <c r="F164" s="11" t="n"/>
      <c r="G164" s="10" t="n"/>
      <c r="H164" s="12" t="n"/>
      <c r="I164" s="11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3">
        <f>IF(A164="","",IF(AND(N(F164)&gt;=3000,G164&lt;&gt;"Yes"),3,0)+IF(J164="Yes",2,0)+IF(OR(D164="1 venue",D164="2-6 venues"),1,0)+IF(OR(B164="Specialty coffee",B164="Brunch / cafe",B164="Dessert / bakery"),1,0)+IF(AND(N(H164)&gt;=4.3,N(I164)&gt;=50),1,0)+IF(AND(OR(M164&lt;&gt;"",N164&lt;&gt;""),O164&lt;&gt;""),1,0))</f>
        <v/>
      </c>
      <c r="S164" s="13">
        <f>IF(R164="","",IF(R164&gt;=6,"A",IF(R164&gt;=4,"B","C")))</f>
        <v/>
      </c>
      <c r="T164" s="10" t="n"/>
      <c r="U164" s="14" t="n"/>
      <c r="V164" s="10" t="n"/>
      <c r="W164" s="10" t="n"/>
    </row>
    <row r="165">
      <c r="A165" s="10" t="n"/>
      <c r="B165" s="10" t="n"/>
      <c r="C165" s="10" t="n"/>
      <c r="D165" s="10" t="n"/>
      <c r="E165" s="10" t="n"/>
      <c r="F165" s="11" t="n"/>
      <c r="G165" s="10" t="n"/>
      <c r="H165" s="12" t="n"/>
      <c r="I165" s="11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3">
        <f>IF(A165="","",IF(AND(N(F165)&gt;=3000,G165&lt;&gt;"Yes"),3,0)+IF(J165="Yes",2,0)+IF(OR(D165="1 venue",D165="2-6 venues"),1,0)+IF(OR(B165="Specialty coffee",B165="Brunch / cafe",B165="Dessert / bakery"),1,0)+IF(AND(N(H165)&gt;=4.3,N(I165)&gt;=50),1,0)+IF(AND(OR(M165&lt;&gt;"",N165&lt;&gt;""),O165&lt;&gt;""),1,0))</f>
        <v/>
      </c>
      <c r="S165" s="13">
        <f>IF(R165="","",IF(R165&gt;=6,"A",IF(R165&gt;=4,"B","C")))</f>
        <v/>
      </c>
      <c r="T165" s="10" t="n"/>
      <c r="U165" s="14" t="n"/>
      <c r="V165" s="10" t="n"/>
      <c r="W165" s="10" t="n"/>
    </row>
    <row r="166">
      <c r="A166" s="10" t="n"/>
      <c r="B166" s="10" t="n"/>
      <c r="C166" s="10" t="n"/>
      <c r="D166" s="10" t="n"/>
      <c r="E166" s="10" t="n"/>
      <c r="F166" s="11" t="n"/>
      <c r="G166" s="10" t="n"/>
      <c r="H166" s="12" t="n"/>
      <c r="I166" s="11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3">
        <f>IF(A166="","",IF(AND(N(F166)&gt;=3000,G166&lt;&gt;"Yes"),3,0)+IF(J166="Yes",2,0)+IF(OR(D166="1 venue",D166="2-6 venues"),1,0)+IF(OR(B166="Specialty coffee",B166="Brunch / cafe",B166="Dessert / bakery"),1,0)+IF(AND(N(H166)&gt;=4.3,N(I166)&gt;=50),1,0)+IF(AND(OR(M166&lt;&gt;"",N166&lt;&gt;""),O166&lt;&gt;""),1,0))</f>
        <v/>
      </c>
      <c r="S166" s="13">
        <f>IF(R166="","",IF(R166&gt;=6,"A",IF(R166&gt;=4,"B","C")))</f>
        <v/>
      </c>
      <c r="T166" s="10" t="n"/>
      <c r="U166" s="14" t="n"/>
      <c r="V166" s="10" t="n"/>
      <c r="W166" s="10" t="n"/>
    </row>
    <row r="167">
      <c r="A167" s="10" t="n"/>
      <c r="B167" s="10" t="n"/>
      <c r="C167" s="10" t="n"/>
      <c r="D167" s="10" t="n"/>
      <c r="E167" s="10" t="n"/>
      <c r="F167" s="11" t="n"/>
      <c r="G167" s="10" t="n"/>
      <c r="H167" s="12" t="n"/>
      <c r="I167" s="11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3">
        <f>IF(A167="","",IF(AND(N(F167)&gt;=3000,G167&lt;&gt;"Yes"),3,0)+IF(J167="Yes",2,0)+IF(OR(D167="1 venue",D167="2-6 venues"),1,0)+IF(OR(B167="Specialty coffee",B167="Brunch / cafe",B167="Dessert / bakery"),1,0)+IF(AND(N(H167)&gt;=4.3,N(I167)&gt;=50),1,0)+IF(AND(OR(M167&lt;&gt;"",N167&lt;&gt;""),O167&lt;&gt;""),1,0))</f>
        <v/>
      </c>
      <c r="S167" s="13">
        <f>IF(R167="","",IF(R167&gt;=6,"A",IF(R167&gt;=4,"B","C")))</f>
        <v/>
      </c>
      <c r="T167" s="10" t="n"/>
      <c r="U167" s="14" t="n"/>
      <c r="V167" s="10" t="n"/>
      <c r="W167" s="10" t="n"/>
    </row>
    <row r="168">
      <c r="A168" s="10" t="n"/>
      <c r="B168" s="10" t="n"/>
      <c r="C168" s="10" t="n"/>
      <c r="D168" s="10" t="n"/>
      <c r="E168" s="10" t="n"/>
      <c r="F168" s="11" t="n"/>
      <c r="G168" s="10" t="n"/>
      <c r="H168" s="12" t="n"/>
      <c r="I168" s="11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3">
        <f>IF(A168="","",IF(AND(N(F168)&gt;=3000,G168&lt;&gt;"Yes"),3,0)+IF(J168="Yes",2,0)+IF(OR(D168="1 venue",D168="2-6 venues"),1,0)+IF(OR(B168="Specialty coffee",B168="Brunch / cafe",B168="Dessert / bakery"),1,0)+IF(AND(N(H168)&gt;=4.3,N(I168)&gt;=50),1,0)+IF(AND(OR(M168&lt;&gt;"",N168&lt;&gt;""),O168&lt;&gt;""),1,0))</f>
        <v/>
      </c>
      <c r="S168" s="13">
        <f>IF(R168="","",IF(R168&gt;=6,"A",IF(R168&gt;=4,"B","C")))</f>
        <v/>
      </c>
      <c r="T168" s="10" t="n"/>
      <c r="U168" s="14" t="n"/>
      <c r="V168" s="10" t="n"/>
      <c r="W168" s="10" t="n"/>
    </row>
    <row r="169">
      <c r="A169" s="10" t="n"/>
      <c r="B169" s="10" t="n"/>
      <c r="C169" s="10" t="n"/>
      <c r="D169" s="10" t="n"/>
      <c r="E169" s="10" t="n"/>
      <c r="F169" s="11" t="n"/>
      <c r="G169" s="10" t="n"/>
      <c r="H169" s="12" t="n"/>
      <c r="I169" s="11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3">
        <f>IF(A169="","",IF(AND(N(F169)&gt;=3000,G169&lt;&gt;"Yes"),3,0)+IF(J169="Yes",2,0)+IF(OR(D169="1 venue",D169="2-6 venues"),1,0)+IF(OR(B169="Specialty coffee",B169="Brunch / cafe",B169="Dessert / bakery"),1,0)+IF(AND(N(H169)&gt;=4.3,N(I169)&gt;=50),1,0)+IF(AND(OR(M169&lt;&gt;"",N169&lt;&gt;""),O169&lt;&gt;""),1,0))</f>
        <v/>
      </c>
      <c r="S169" s="13">
        <f>IF(R169="","",IF(R169&gt;=6,"A",IF(R169&gt;=4,"B","C")))</f>
        <v/>
      </c>
      <c r="T169" s="10" t="n"/>
      <c r="U169" s="14" t="n"/>
      <c r="V169" s="10" t="n"/>
      <c r="W169" s="10" t="n"/>
    </row>
    <row r="170">
      <c r="A170" s="10" t="n"/>
      <c r="B170" s="10" t="n"/>
      <c r="C170" s="10" t="n"/>
      <c r="D170" s="10" t="n"/>
      <c r="E170" s="10" t="n"/>
      <c r="F170" s="11" t="n"/>
      <c r="G170" s="10" t="n"/>
      <c r="H170" s="12" t="n"/>
      <c r="I170" s="11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3">
        <f>IF(A170="","",IF(AND(N(F170)&gt;=3000,G170&lt;&gt;"Yes"),3,0)+IF(J170="Yes",2,0)+IF(OR(D170="1 venue",D170="2-6 venues"),1,0)+IF(OR(B170="Specialty coffee",B170="Brunch / cafe",B170="Dessert / bakery"),1,0)+IF(AND(N(H170)&gt;=4.3,N(I170)&gt;=50),1,0)+IF(AND(OR(M170&lt;&gt;"",N170&lt;&gt;""),O170&lt;&gt;""),1,0))</f>
        <v/>
      </c>
      <c r="S170" s="13">
        <f>IF(R170="","",IF(R170&gt;=6,"A",IF(R170&gt;=4,"B","C")))</f>
        <v/>
      </c>
      <c r="T170" s="10" t="n"/>
      <c r="U170" s="14" t="n"/>
      <c r="V170" s="10" t="n"/>
      <c r="W170" s="10" t="n"/>
    </row>
    <row r="171">
      <c r="A171" s="10" t="n"/>
      <c r="B171" s="10" t="n"/>
      <c r="C171" s="10" t="n"/>
      <c r="D171" s="10" t="n"/>
      <c r="E171" s="10" t="n"/>
      <c r="F171" s="11" t="n"/>
      <c r="G171" s="10" t="n"/>
      <c r="H171" s="12" t="n"/>
      <c r="I171" s="11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3">
        <f>IF(A171="","",IF(AND(N(F171)&gt;=3000,G171&lt;&gt;"Yes"),3,0)+IF(J171="Yes",2,0)+IF(OR(D171="1 venue",D171="2-6 venues"),1,0)+IF(OR(B171="Specialty coffee",B171="Brunch / cafe",B171="Dessert / bakery"),1,0)+IF(AND(N(H171)&gt;=4.3,N(I171)&gt;=50),1,0)+IF(AND(OR(M171&lt;&gt;"",N171&lt;&gt;""),O171&lt;&gt;""),1,0))</f>
        <v/>
      </c>
      <c r="S171" s="13">
        <f>IF(R171="","",IF(R171&gt;=6,"A",IF(R171&gt;=4,"B","C")))</f>
        <v/>
      </c>
      <c r="T171" s="10" t="n"/>
      <c r="U171" s="14" t="n"/>
      <c r="V171" s="10" t="n"/>
      <c r="W171" s="10" t="n"/>
    </row>
    <row r="172">
      <c r="A172" s="10" t="n"/>
      <c r="B172" s="10" t="n"/>
      <c r="C172" s="10" t="n"/>
      <c r="D172" s="10" t="n"/>
      <c r="E172" s="10" t="n"/>
      <c r="F172" s="11" t="n"/>
      <c r="G172" s="10" t="n"/>
      <c r="H172" s="12" t="n"/>
      <c r="I172" s="11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3">
        <f>IF(A172="","",IF(AND(N(F172)&gt;=3000,G172&lt;&gt;"Yes"),3,0)+IF(J172="Yes",2,0)+IF(OR(D172="1 venue",D172="2-6 venues"),1,0)+IF(OR(B172="Specialty coffee",B172="Brunch / cafe",B172="Dessert / bakery"),1,0)+IF(AND(N(H172)&gt;=4.3,N(I172)&gt;=50),1,0)+IF(AND(OR(M172&lt;&gt;"",N172&lt;&gt;""),O172&lt;&gt;""),1,0))</f>
        <v/>
      </c>
      <c r="S172" s="13">
        <f>IF(R172="","",IF(R172&gt;=6,"A",IF(R172&gt;=4,"B","C")))</f>
        <v/>
      </c>
      <c r="T172" s="10" t="n"/>
      <c r="U172" s="14" t="n"/>
      <c r="V172" s="10" t="n"/>
      <c r="W172" s="10" t="n"/>
    </row>
    <row r="173">
      <c r="A173" s="10" t="n"/>
      <c r="B173" s="10" t="n"/>
      <c r="C173" s="10" t="n"/>
      <c r="D173" s="10" t="n"/>
      <c r="E173" s="10" t="n"/>
      <c r="F173" s="11" t="n"/>
      <c r="G173" s="10" t="n"/>
      <c r="H173" s="12" t="n"/>
      <c r="I173" s="11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3">
        <f>IF(A173="","",IF(AND(N(F173)&gt;=3000,G173&lt;&gt;"Yes"),3,0)+IF(J173="Yes",2,0)+IF(OR(D173="1 venue",D173="2-6 venues"),1,0)+IF(OR(B173="Specialty coffee",B173="Brunch / cafe",B173="Dessert / bakery"),1,0)+IF(AND(N(H173)&gt;=4.3,N(I173)&gt;=50),1,0)+IF(AND(OR(M173&lt;&gt;"",N173&lt;&gt;""),O173&lt;&gt;""),1,0))</f>
        <v/>
      </c>
      <c r="S173" s="13">
        <f>IF(R173="","",IF(R173&gt;=6,"A",IF(R173&gt;=4,"B","C")))</f>
        <v/>
      </c>
      <c r="T173" s="10" t="n"/>
      <c r="U173" s="14" t="n"/>
      <c r="V173" s="10" t="n"/>
      <c r="W173" s="10" t="n"/>
    </row>
    <row r="174">
      <c r="A174" s="10" t="n"/>
      <c r="B174" s="10" t="n"/>
      <c r="C174" s="10" t="n"/>
      <c r="D174" s="10" t="n"/>
      <c r="E174" s="10" t="n"/>
      <c r="F174" s="11" t="n"/>
      <c r="G174" s="10" t="n"/>
      <c r="H174" s="12" t="n"/>
      <c r="I174" s="11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3">
        <f>IF(A174="","",IF(AND(N(F174)&gt;=3000,G174&lt;&gt;"Yes"),3,0)+IF(J174="Yes",2,0)+IF(OR(D174="1 venue",D174="2-6 venues"),1,0)+IF(OR(B174="Specialty coffee",B174="Brunch / cafe",B174="Dessert / bakery"),1,0)+IF(AND(N(H174)&gt;=4.3,N(I174)&gt;=50),1,0)+IF(AND(OR(M174&lt;&gt;"",N174&lt;&gt;""),O174&lt;&gt;""),1,0))</f>
        <v/>
      </c>
      <c r="S174" s="13">
        <f>IF(R174="","",IF(R174&gt;=6,"A",IF(R174&gt;=4,"B","C")))</f>
        <v/>
      </c>
      <c r="T174" s="10" t="n"/>
      <c r="U174" s="14" t="n"/>
      <c r="V174" s="10" t="n"/>
      <c r="W174" s="10" t="n"/>
    </row>
    <row r="175">
      <c r="A175" s="10" t="n"/>
      <c r="B175" s="10" t="n"/>
      <c r="C175" s="10" t="n"/>
      <c r="D175" s="10" t="n"/>
      <c r="E175" s="10" t="n"/>
      <c r="F175" s="11" t="n"/>
      <c r="G175" s="10" t="n"/>
      <c r="H175" s="12" t="n"/>
      <c r="I175" s="11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3">
        <f>IF(A175="","",IF(AND(N(F175)&gt;=3000,G175&lt;&gt;"Yes"),3,0)+IF(J175="Yes",2,0)+IF(OR(D175="1 venue",D175="2-6 venues"),1,0)+IF(OR(B175="Specialty coffee",B175="Brunch / cafe",B175="Dessert / bakery"),1,0)+IF(AND(N(H175)&gt;=4.3,N(I175)&gt;=50),1,0)+IF(AND(OR(M175&lt;&gt;"",N175&lt;&gt;""),O175&lt;&gt;""),1,0))</f>
        <v/>
      </c>
      <c r="S175" s="13">
        <f>IF(R175="","",IF(R175&gt;=6,"A",IF(R175&gt;=4,"B","C")))</f>
        <v/>
      </c>
      <c r="T175" s="10" t="n"/>
      <c r="U175" s="14" t="n"/>
      <c r="V175" s="10" t="n"/>
      <c r="W175" s="10" t="n"/>
    </row>
    <row r="176">
      <c r="A176" s="10" t="n"/>
      <c r="B176" s="10" t="n"/>
      <c r="C176" s="10" t="n"/>
      <c r="D176" s="10" t="n"/>
      <c r="E176" s="10" t="n"/>
      <c r="F176" s="11" t="n"/>
      <c r="G176" s="10" t="n"/>
      <c r="H176" s="12" t="n"/>
      <c r="I176" s="11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3">
        <f>IF(A176="","",IF(AND(N(F176)&gt;=3000,G176&lt;&gt;"Yes"),3,0)+IF(J176="Yes",2,0)+IF(OR(D176="1 venue",D176="2-6 venues"),1,0)+IF(OR(B176="Specialty coffee",B176="Brunch / cafe",B176="Dessert / bakery"),1,0)+IF(AND(N(H176)&gt;=4.3,N(I176)&gt;=50),1,0)+IF(AND(OR(M176&lt;&gt;"",N176&lt;&gt;""),O176&lt;&gt;""),1,0))</f>
        <v/>
      </c>
      <c r="S176" s="13">
        <f>IF(R176="","",IF(R176&gt;=6,"A",IF(R176&gt;=4,"B","C")))</f>
        <v/>
      </c>
      <c r="T176" s="10" t="n"/>
      <c r="U176" s="14" t="n"/>
      <c r="V176" s="10" t="n"/>
      <c r="W176" s="10" t="n"/>
    </row>
    <row r="177">
      <c r="A177" s="10" t="n"/>
      <c r="B177" s="10" t="n"/>
      <c r="C177" s="10" t="n"/>
      <c r="D177" s="10" t="n"/>
      <c r="E177" s="10" t="n"/>
      <c r="F177" s="11" t="n"/>
      <c r="G177" s="10" t="n"/>
      <c r="H177" s="12" t="n"/>
      <c r="I177" s="11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3">
        <f>IF(A177="","",IF(AND(N(F177)&gt;=3000,G177&lt;&gt;"Yes"),3,0)+IF(J177="Yes",2,0)+IF(OR(D177="1 venue",D177="2-6 venues"),1,0)+IF(OR(B177="Specialty coffee",B177="Brunch / cafe",B177="Dessert / bakery"),1,0)+IF(AND(N(H177)&gt;=4.3,N(I177)&gt;=50),1,0)+IF(AND(OR(M177&lt;&gt;"",N177&lt;&gt;""),O177&lt;&gt;""),1,0))</f>
        <v/>
      </c>
      <c r="S177" s="13">
        <f>IF(R177="","",IF(R177&gt;=6,"A",IF(R177&gt;=4,"B","C")))</f>
        <v/>
      </c>
      <c r="T177" s="10" t="n"/>
      <c r="U177" s="14" t="n"/>
      <c r="V177" s="10" t="n"/>
      <c r="W177" s="10" t="n"/>
    </row>
    <row r="178">
      <c r="A178" s="10" t="n"/>
      <c r="B178" s="10" t="n"/>
      <c r="C178" s="10" t="n"/>
      <c r="D178" s="10" t="n"/>
      <c r="E178" s="10" t="n"/>
      <c r="F178" s="11" t="n"/>
      <c r="G178" s="10" t="n"/>
      <c r="H178" s="12" t="n"/>
      <c r="I178" s="11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3">
        <f>IF(A178="","",IF(AND(N(F178)&gt;=3000,G178&lt;&gt;"Yes"),3,0)+IF(J178="Yes",2,0)+IF(OR(D178="1 venue",D178="2-6 venues"),1,0)+IF(OR(B178="Specialty coffee",B178="Brunch / cafe",B178="Dessert / bakery"),1,0)+IF(AND(N(H178)&gt;=4.3,N(I178)&gt;=50),1,0)+IF(AND(OR(M178&lt;&gt;"",N178&lt;&gt;""),O178&lt;&gt;""),1,0))</f>
        <v/>
      </c>
      <c r="S178" s="13">
        <f>IF(R178="","",IF(R178&gt;=6,"A",IF(R178&gt;=4,"B","C")))</f>
        <v/>
      </c>
      <c r="T178" s="10" t="n"/>
      <c r="U178" s="14" t="n"/>
      <c r="V178" s="10" t="n"/>
      <c r="W178" s="10" t="n"/>
    </row>
    <row r="179">
      <c r="A179" s="10" t="n"/>
      <c r="B179" s="10" t="n"/>
      <c r="C179" s="10" t="n"/>
      <c r="D179" s="10" t="n"/>
      <c r="E179" s="10" t="n"/>
      <c r="F179" s="11" t="n"/>
      <c r="G179" s="10" t="n"/>
      <c r="H179" s="12" t="n"/>
      <c r="I179" s="11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3">
        <f>IF(A179="","",IF(AND(N(F179)&gt;=3000,G179&lt;&gt;"Yes"),3,0)+IF(J179="Yes",2,0)+IF(OR(D179="1 venue",D179="2-6 venues"),1,0)+IF(OR(B179="Specialty coffee",B179="Brunch / cafe",B179="Dessert / bakery"),1,0)+IF(AND(N(H179)&gt;=4.3,N(I179)&gt;=50),1,0)+IF(AND(OR(M179&lt;&gt;"",N179&lt;&gt;""),O179&lt;&gt;""),1,0))</f>
        <v/>
      </c>
      <c r="S179" s="13">
        <f>IF(R179="","",IF(R179&gt;=6,"A",IF(R179&gt;=4,"B","C")))</f>
        <v/>
      </c>
      <c r="T179" s="10" t="n"/>
      <c r="U179" s="14" t="n"/>
      <c r="V179" s="10" t="n"/>
      <c r="W179" s="10" t="n"/>
    </row>
    <row r="180">
      <c r="A180" s="10" t="n"/>
      <c r="B180" s="10" t="n"/>
      <c r="C180" s="10" t="n"/>
      <c r="D180" s="10" t="n"/>
      <c r="E180" s="10" t="n"/>
      <c r="F180" s="11" t="n"/>
      <c r="G180" s="10" t="n"/>
      <c r="H180" s="12" t="n"/>
      <c r="I180" s="11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3">
        <f>IF(A180="","",IF(AND(N(F180)&gt;=3000,G180&lt;&gt;"Yes"),3,0)+IF(J180="Yes",2,0)+IF(OR(D180="1 venue",D180="2-6 venues"),1,0)+IF(OR(B180="Specialty coffee",B180="Brunch / cafe",B180="Dessert / bakery"),1,0)+IF(AND(N(H180)&gt;=4.3,N(I180)&gt;=50),1,0)+IF(AND(OR(M180&lt;&gt;"",N180&lt;&gt;""),O180&lt;&gt;""),1,0))</f>
        <v/>
      </c>
      <c r="S180" s="13">
        <f>IF(R180="","",IF(R180&gt;=6,"A",IF(R180&gt;=4,"B","C")))</f>
        <v/>
      </c>
      <c r="T180" s="10" t="n"/>
      <c r="U180" s="14" t="n"/>
      <c r="V180" s="10" t="n"/>
      <c r="W180" s="10" t="n"/>
    </row>
    <row r="181">
      <c r="A181" s="10" t="n"/>
      <c r="B181" s="10" t="n"/>
      <c r="C181" s="10" t="n"/>
      <c r="D181" s="10" t="n"/>
      <c r="E181" s="10" t="n"/>
      <c r="F181" s="11" t="n"/>
      <c r="G181" s="10" t="n"/>
      <c r="H181" s="12" t="n"/>
      <c r="I181" s="11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3">
        <f>IF(A181="","",IF(AND(N(F181)&gt;=3000,G181&lt;&gt;"Yes"),3,0)+IF(J181="Yes",2,0)+IF(OR(D181="1 venue",D181="2-6 venues"),1,0)+IF(OR(B181="Specialty coffee",B181="Brunch / cafe",B181="Dessert / bakery"),1,0)+IF(AND(N(H181)&gt;=4.3,N(I181)&gt;=50),1,0)+IF(AND(OR(M181&lt;&gt;"",N181&lt;&gt;""),O181&lt;&gt;""),1,0))</f>
        <v/>
      </c>
      <c r="S181" s="13">
        <f>IF(R181="","",IF(R181&gt;=6,"A",IF(R181&gt;=4,"B","C")))</f>
        <v/>
      </c>
      <c r="T181" s="10" t="n"/>
      <c r="U181" s="14" t="n"/>
      <c r="V181" s="10" t="n"/>
      <c r="W181" s="10" t="n"/>
    </row>
    <row r="182">
      <c r="A182" s="10" t="n"/>
      <c r="B182" s="10" t="n"/>
      <c r="C182" s="10" t="n"/>
      <c r="D182" s="10" t="n"/>
      <c r="E182" s="10" t="n"/>
      <c r="F182" s="11" t="n"/>
      <c r="G182" s="10" t="n"/>
      <c r="H182" s="12" t="n"/>
      <c r="I182" s="11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3">
        <f>IF(A182="","",IF(AND(N(F182)&gt;=3000,G182&lt;&gt;"Yes"),3,0)+IF(J182="Yes",2,0)+IF(OR(D182="1 venue",D182="2-6 venues"),1,0)+IF(OR(B182="Specialty coffee",B182="Brunch / cafe",B182="Dessert / bakery"),1,0)+IF(AND(N(H182)&gt;=4.3,N(I182)&gt;=50),1,0)+IF(AND(OR(M182&lt;&gt;"",N182&lt;&gt;""),O182&lt;&gt;""),1,0))</f>
        <v/>
      </c>
      <c r="S182" s="13">
        <f>IF(R182="","",IF(R182&gt;=6,"A",IF(R182&gt;=4,"B","C")))</f>
        <v/>
      </c>
      <c r="T182" s="10" t="n"/>
      <c r="U182" s="14" t="n"/>
      <c r="V182" s="10" t="n"/>
      <c r="W182" s="10" t="n"/>
    </row>
    <row r="183">
      <c r="A183" s="10" t="n"/>
      <c r="B183" s="10" t="n"/>
      <c r="C183" s="10" t="n"/>
      <c r="D183" s="10" t="n"/>
      <c r="E183" s="10" t="n"/>
      <c r="F183" s="11" t="n"/>
      <c r="G183" s="10" t="n"/>
      <c r="H183" s="12" t="n"/>
      <c r="I183" s="11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3">
        <f>IF(A183="","",IF(AND(N(F183)&gt;=3000,G183&lt;&gt;"Yes"),3,0)+IF(J183="Yes",2,0)+IF(OR(D183="1 venue",D183="2-6 venues"),1,0)+IF(OR(B183="Specialty coffee",B183="Brunch / cafe",B183="Dessert / bakery"),1,0)+IF(AND(N(H183)&gt;=4.3,N(I183)&gt;=50),1,0)+IF(AND(OR(M183&lt;&gt;"",N183&lt;&gt;""),O183&lt;&gt;""),1,0))</f>
        <v/>
      </c>
      <c r="S183" s="13">
        <f>IF(R183="","",IF(R183&gt;=6,"A",IF(R183&gt;=4,"B","C")))</f>
        <v/>
      </c>
      <c r="T183" s="10" t="n"/>
      <c r="U183" s="14" t="n"/>
      <c r="V183" s="10" t="n"/>
      <c r="W183" s="10" t="n"/>
    </row>
    <row r="184">
      <c r="A184" s="10" t="n"/>
      <c r="B184" s="10" t="n"/>
      <c r="C184" s="10" t="n"/>
      <c r="D184" s="10" t="n"/>
      <c r="E184" s="10" t="n"/>
      <c r="F184" s="11" t="n"/>
      <c r="G184" s="10" t="n"/>
      <c r="H184" s="12" t="n"/>
      <c r="I184" s="11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3">
        <f>IF(A184="","",IF(AND(N(F184)&gt;=3000,G184&lt;&gt;"Yes"),3,0)+IF(J184="Yes",2,0)+IF(OR(D184="1 venue",D184="2-6 venues"),1,0)+IF(OR(B184="Specialty coffee",B184="Brunch / cafe",B184="Dessert / bakery"),1,0)+IF(AND(N(H184)&gt;=4.3,N(I184)&gt;=50),1,0)+IF(AND(OR(M184&lt;&gt;"",N184&lt;&gt;""),O184&lt;&gt;""),1,0))</f>
        <v/>
      </c>
      <c r="S184" s="13">
        <f>IF(R184="","",IF(R184&gt;=6,"A",IF(R184&gt;=4,"B","C")))</f>
        <v/>
      </c>
      <c r="T184" s="10" t="n"/>
      <c r="U184" s="14" t="n"/>
      <c r="V184" s="10" t="n"/>
      <c r="W184" s="10" t="n"/>
    </row>
    <row r="185">
      <c r="A185" s="10" t="n"/>
      <c r="B185" s="10" t="n"/>
      <c r="C185" s="10" t="n"/>
      <c r="D185" s="10" t="n"/>
      <c r="E185" s="10" t="n"/>
      <c r="F185" s="11" t="n"/>
      <c r="G185" s="10" t="n"/>
      <c r="H185" s="12" t="n"/>
      <c r="I185" s="11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3">
        <f>IF(A185="","",IF(AND(N(F185)&gt;=3000,G185&lt;&gt;"Yes"),3,0)+IF(J185="Yes",2,0)+IF(OR(D185="1 venue",D185="2-6 venues"),1,0)+IF(OR(B185="Specialty coffee",B185="Brunch / cafe",B185="Dessert / bakery"),1,0)+IF(AND(N(H185)&gt;=4.3,N(I185)&gt;=50),1,0)+IF(AND(OR(M185&lt;&gt;"",N185&lt;&gt;""),O185&lt;&gt;""),1,0))</f>
        <v/>
      </c>
      <c r="S185" s="13">
        <f>IF(R185="","",IF(R185&gt;=6,"A",IF(R185&gt;=4,"B","C")))</f>
        <v/>
      </c>
      <c r="T185" s="10" t="n"/>
      <c r="U185" s="14" t="n"/>
      <c r="V185" s="10" t="n"/>
      <c r="W185" s="10" t="n"/>
    </row>
    <row r="186">
      <c r="A186" s="10" t="n"/>
      <c r="B186" s="10" t="n"/>
      <c r="C186" s="10" t="n"/>
      <c r="D186" s="10" t="n"/>
      <c r="E186" s="10" t="n"/>
      <c r="F186" s="11" t="n"/>
      <c r="G186" s="10" t="n"/>
      <c r="H186" s="12" t="n"/>
      <c r="I186" s="11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3">
        <f>IF(A186="","",IF(AND(N(F186)&gt;=3000,G186&lt;&gt;"Yes"),3,0)+IF(J186="Yes",2,0)+IF(OR(D186="1 venue",D186="2-6 venues"),1,0)+IF(OR(B186="Specialty coffee",B186="Brunch / cafe",B186="Dessert / bakery"),1,0)+IF(AND(N(H186)&gt;=4.3,N(I186)&gt;=50),1,0)+IF(AND(OR(M186&lt;&gt;"",N186&lt;&gt;""),O186&lt;&gt;""),1,0))</f>
        <v/>
      </c>
      <c r="S186" s="13">
        <f>IF(R186="","",IF(R186&gt;=6,"A",IF(R186&gt;=4,"B","C")))</f>
        <v/>
      </c>
      <c r="T186" s="10" t="n"/>
      <c r="U186" s="14" t="n"/>
      <c r="V186" s="10" t="n"/>
      <c r="W186" s="10" t="n"/>
    </row>
    <row r="187">
      <c r="A187" s="10" t="n"/>
      <c r="B187" s="10" t="n"/>
      <c r="C187" s="10" t="n"/>
      <c r="D187" s="10" t="n"/>
      <c r="E187" s="10" t="n"/>
      <c r="F187" s="11" t="n"/>
      <c r="G187" s="10" t="n"/>
      <c r="H187" s="12" t="n"/>
      <c r="I187" s="11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3">
        <f>IF(A187="","",IF(AND(N(F187)&gt;=3000,G187&lt;&gt;"Yes"),3,0)+IF(J187="Yes",2,0)+IF(OR(D187="1 venue",D187="2-6 venues"),1,0)+IF(OR(B187="Specialty coffee",B187="Brunch / cafe",B187="Dessert / bakery"),1,0)+IF(AND(N(H187)&gt;=4.3,N(I187)&gt;=50),1,0)+IF(AND(OR(M187&lt;&gt;"",N187&lt;&gt;""),O187&lt;&gt;""),1,0))</f>
        <v/>
      </c>
      <c r="S187" s="13">
        <f>IF(R187="","",IF(R187&gt;=6,"A",IF(R187&gt;=4,"B","C")))</f>
        <v/>
      </c>
      <c r="T187" s="10" t="n"/>
      <c r="U187" s="14" t="n"/>
      <c r="V187" s="10" t="n"/>
      <c r="W187" s="10" t="n"/>
    </row>
    <row r="188">
      <c r="A188" s="10" t="n"/>
      <c r="B188" s="10" t="n"/>
      <c r="C188" s="10" t="n"/>
      <c r="D188" s="10" t="n"/>
      <c r="E188" s="10" t="n"/>
      <c r="F188" s="11" t="n"/>
      <c r="G188" s="10" t="n"/>
      <c r="H188" s="12" t="n"/>
      <c r="I188" s="11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3">
        <f>IF(A188="","",IF(AND(N(F188)&gt;=3000,G188&lt;&gt;"Yes"),3,0)+IF(J188="Yes",2,0)+IF(OR(D188="1 venue",D188="2-6 venues"),1,0)+IF(OR(B188="Specialty coffee",B188="Brunch / cafe",B188="Dessert / bakery"),1,0)+IF(AND(N(H188)&gt;=4.3,N(I188)&gt;=50),1,0)+IF(AND(OR(M188&lt;&gt;"",N188&lt;&gt;""),O188&lt;&gt;""),1,0))</f>
        <v/>
      </c>
      <c r="S188" s="13">
        <f>IF(R188="","",IF(R188&gt;=6,"A",IF(R188&gt;=4,"B","C")))</f>
        <v/>
      </c>
      <c r="T188" s="10" t="n"/>
      <c r="U188" s="14" t="n"/>
      <c r="V188" s="10" t="n"/>
      <c r="W188" s="10" t="n"/>
    </row>
    <row r="189">
      <c r="A189" s="10" t="n"/>
      <c r="B189" s="10" t="n"/>
      <c r="C189" s="10" t="n"/>
      <c r="D189" s="10" t="n"/>
      <c r="E189" s="10" t="n"/>
      <c r="F189" s="11" t="n"/>
      <c r="G189" s="10" t="n"/>
      <c r="H189" s="12" t="n"/>
      <c r="I189" s="11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3">
        <f>IF(A189="","",IF(AND(N(F189)&gt;=3000,G189&lt;&gt;"Yes"),3,0)+IF(J189="Yes",2,0)+IF(OR(D189="1 venue",D189="2-6 venues"),1,0)+IF(OR(B189="Specialty coffee",B189="Brunch / cafe",B189="Dessert / bakery"),1,0)+IF(AND(N(H189)&gt;=4.3,N(I189)&gt;=50),1,0)+IF(AND(OR(M189&lt;&gt;"",N189&lt;&gt;""),O189&lt;&gt;""),1,0))</f>
        <v/>
      </c>
      <c r="S189" s="13">
        <f>IF(R189="","",IF(R189&gt;=6,"A",IF(R189&gt;=4,"B","C")))</f>
        <v/>
      </c>
      <c r="T189" s="10" t="n"/>
      <c r="U189" s="14" t="n"/>
      <c r="V189" s="10" t="n"/>
      <c r="W189" s="10" t="n"/>
    </row>
    <row r="190">
      <c r="A190" s="10" t="n"/>
      <c r="B190" s="10" t="n"/>
      <c r="C190" s="10" t="n"/>
      <c r="D190" s="10" t="n"/>
      <c r="E190" s="10" t="n"/>
      <c r="F190" s="11" t="n"/>
      <c r="G190" s="10" t="n"/>
      <c r="H190" s="12" t="n"/>
      <c r="I190" s="11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3">
        <f>IF(A190="","",IF(AND(N(F190)&gt;=3000,G190&lt;&gt;"Yes"),3,0)+IF(J190="Yes",2,0)+IF(OR(D190="1 venue",D190="2-6 venues"),1,0)+IF(OR(B190="Specialty coffee",B190="Brunch / cafe",B190="Dessert / bakery"),1,0)+IF(AND(N(H190)&gt;=4.3,N(I190)&gt;=50),1,0)+IF(AND(OR(M190&lt;&gt;"",N190&lt;&gt;""),O190&lt;&gt;""),1,0))</f>
        <v/>
      </c>
      <c r="S190" s="13">
        <f>IF(R190="","",IF(R190&gt;=6,"A",IF(R190&gt;=4,"B","C")))</f>
        <v/>
      </c>
      <c r="T190" s="10" t="n"/>
      <c r="U190" s="14" t="n"/>
      <c r="V190" s="10" t="n"/>
      <c r="W190" s="10" t="n"/>
    </row>
    <row r="191">
      <c r="A191" s="10" t="n"/>
      <c r="B191" s="10" t="n"/>
      <c r="C191" s="10" t="n"/>
      <c r="D191" s="10" t="n"/>
      <c r="E191" s="10" t="n"/>
      <c r="F191" s="11" t="n"/>
      <c r="G191" s="10" t="n"/>
      <c r="H191" s="12" t="n"/>
      <c r="I191" s="11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3">
        <f>IF(A191="","",IF(AND(N(F191)&gt;=3000,G191&lt;&gt;"Yes"),3,0)+IF(J191="Yes",2,0)+IF(OR(D191="1 venue",D191="2-6 venues"),1,0)+IF(OR(B191="Specialty coffee",B191="Brunch / cafe",B191="Dessert / bakery"),1,0)+IF(AND(N(H191)&gt;=4.3,N(I191)&gt;=50),1,0)+IF(AND(OR(M191&lt;&gt;"",N191&lt;&gt;""),O191&lt;&gt;""),1,0))</f>
        <v/>
      </c>
      <c r="S191" s="13">
        <f>IF(R191="","",IF(R191&gt;=6,"A",IF(R191&gt;=4,"B","C")))</f>
        <v/>
      </c>
      <c r="T191" s="10" t="n"/>
      <c r="U191" s="14" t="n"/>
      <c r="V191" s="10" t="n"/>
      <c r="W191" s="10" t="n"/>
    </row>
    <row r="192">
      <c r="A192" s="10" t="n"/>
      <c r="B192" s="10" t="n"/>
      <c r="C192" s="10" t="n"/>
      <c r="D192" s="10" t="n"/>
      <c r="E192" s="10" t="n"/>
      <c r="F192" s="11" t="n"/>
      <c r="G192" s="10" t="n"/>
      <c r="H192" s="12" t="n"/>
      <c r="I192" s="11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3">
        <f>IF(A192="","",IF(AND(N(F192)&gt;=3000,G192&lt;&gt;"Yes"),3,0)+IF(J192="Yes",2,0)+IF(OR(D192="1 venue",D192="2-6 venues"),1,0)+IF(OR(B192="Specialty coffee",B192="Brunch / cafe",B192="Dessert / bakery"),1,0)+IF(AND(N(H192)&gt;=4.3,N(I192)&gt;=50),1,0)+IF(AND(OR(M192&lt;&gt;"",N192&lt;&gt;""),O192&lt;&gt;""),1,0))</f>
        <v/>
      </c>
      <c r="S192" s="13">
        <f>IF(R192="","",IF(R192&gt;=6,"A",IF(R192&gt;=4,"B","C")))</f>
        <v/>
      </c>
      <c r="T192" s="10" t="n"/>
      <c r="U192" s="14" t="n"/>
      <c r="V192" s="10" t="n"/>
      <c r="W192" s="10" t="n"/>
    </row>
    <row r="193">
      <c r="A193" s="10" t="n"/>
      <c r="B193" s="10" t="n"/>
      <c r="C193" s="10" t="n"/>
      <c r="D193" s="10" t="n"/>
      <c r="E193" s="10" t="n"/>
      <c r="F193" s="11" t="n"/>
      <c r="G193" s="10" t="n"/>
      <c r="H193" s="12" t="n"/>
      <c r="I193" s="11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3">
        <f>IF(A193="","",IF(AND(N(F193)&gt;=3000,G193&lt;&gt;"Yes"),3,0)+IF(J193="Yes",2,0)+IF(OR(D193="1 venue",D193="2-6 venues"),1,0)+IF(OR(B193="Specialty coffee",B193="Brunch / cafe",B193="Dessert / bakery"),1,0)+IF(AND(N(H193)&gt;=4.3,N(I193)&gt;=50),1,0)+IF(AND(OR(M193&lt;&gt;"",N193&lt;&gt;""),O193&lt;&gt;""),1,0))</f>
        <v/>
      </c>
      <c r="S193" s="13">
        <f>IF(R193="","",IF(R193&gt;=6,"A",IF(R193&gt;=4,"B","C")))</f>
        <v/>
      </c>
      <c r="T193" s="10" t="n"/>
      <c r="U193" s="14" t="n"/>
      <c r="V193" s="10" t="n"/>
      <c r="W193" s="10" t="n"/>
    </row>
    <row r="194">
      <c r="A194" s="10" t="n"/>
      <c r="B194" s="10" t="n"/>
      <c r="C194" s="10" t="n"/>
      <c r="D194" s="10" t="n"/>
      <c r="E194" s="10" t="n"/>
      <c r="F194" s="11" t="n"/>
      <c r="G194" s="10" t="n"/>
      <c r="H194" s="12" t="n"/>
      <c r="I194" s="11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3">
        <f>IF(A194="","",IF(AND(N(F194)&gt;=3000,G194&lt;&gt;"Yes"),3,0)+IF(J194="Yes",2,0)+IF(OR(D194="1 venue",D194="2-6 venues"),1,0)+IF(OR(B194="Specialty coffee",B194="Brunch / cafe",B194="Dessert / bakery"),1,0)+IF(AND(N(H194)&gt;=4.3,N(I194)&gt;=50),1,0)+IF(AND(OR(M194&lt;&gt;"",N194&lt;&gt;""),O194&lt;&gt;""),1,0))</f>
        <v/>
      </c>
      <c r="S194" s="13">
        <f>IF(R194="","",IF(R194&gt;=6,"A",IF(R194&gt;=4,"B","C")))</f>
        <v/>
      </c>
      <c r="T194" s="10" t="n"/>
      <c r="U194" s="14" t="n"/>
      <c r="V194" s="10" t="n"/>
      <c r="W194" s="10" t="n"/>
    </row>
    <row r="195">
      <c r="A195" s="10" t="n"/>
      <c r="B195" s="10" t="n"/>
      <c r="C195" s="10" t="n"/>
      <c r="D195" s="10" t="n"/>
      <c r="E195" s="10" t="n"/>
      <c r="F195" s="11" t="n"/>
      <c r="G195" s="10" t="n"/>
      <c r="H195" s="12" t="n"/>
      <c r="I195" s="11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3">
        <f>IF(A195="","",IF(AND(N(F195)&gt;=3000,G195&lt;&gt;"Yes"),3,0)+IF(J195="Yes",2,0)+IF(OR(D195="1 venue",D195="2-6 venues"),1,0)+IF(OR(B195="Specialty coffee",B195="Brunch / cafe",B195="Dessert / bakery"),1,0)+IF(AND(N(H195)&gt;=4.3,N(I195)&gt;=50),1,0)+IF(AND(OR(M195&lt;&gt;"",N195&lt;&gt;""),O195&lt;&gt;""),1,0))</f>
        <v/>
      </c>
      <c r="S195" s="13">
        <f>IF(R195="","",IF(R195&gt;=6,"A",IF(R195&gt;=4,"B","C")))</f>
        <v/>
      </c>
      <c r="T195" s="10" t="n"/>
      <c r="U195" s="14" t="n"/>
      <c r="V195" s="10" t="n"/>
      <c r="W195" s="10" t="n"/>
    </row>
    <row r="196">
      <c r="A196" s="10" t="n"/>
      <c r="B196" s="10" t="n"/>
      <c r="C196" s="10" t="n"/>
      <c r="D196" s="10" t="n"/>
      <c r="E196" s="10" t="n"/>
      <c r="F196" s="11" t="n"/>
      <c r="G196" s="10" t="n"/>
      <c r="H196" s="12" t="n"/>
      <c r="I196" s="11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3">
        <f>IF(A196="","",IF(AND(N(F196)&gt;=3000,G196&lt;&gt;"Yes"),3,0)+IF(J196="Yes",2,0)+IF(OR(D196="1 venue",D196="2-6 venues"),1,0)+IF(OR(B196="Specialty coffee",B196="Brunch / cafe",B196="Dessert / bakery"),1,0)+IF(AND(N(H196)&gt;=4.3,N(I196)&gt;=50),1,0)+IF(AND(OR(M196&lt;&gt;"",N196&lt;&gt;""),O196&lt;&gt;""),1,0))</f>
        <v/>
      </c>
      <c r="S196" s="13">
        <f>IF(R196="","",IF(R196&gt;=6,"A",IF(R196&gt;=4,"B","C")))</f>
        <v/>
      </c>
      <c r="T196" s="10" t="n"/>
      <c r="U196" s="14" t="n"/>
      <c r="V196" s="10" t="n"/>
      <c r="W196" s="10" t="n"/>
    </row>
    <row r="197">
      <c r="A197" s="10" t="n"/>
      <c r="B197" s="10" t="n"/>
      <c r="C197" s="10" t="n"/>
      <c r="D197" s="10" t="n"/>
      <c r="E197" s="10" t="n"/>
      <c r="F197" s="11" t="n"/>
      <c r="G197" s="10" t="n"/>
      <c r="H197" s="12" t="n"/>
      <c r="I197" s="11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3">
        <f>IF(A197="","",IF(AND(N(F197)&gt;=3000,G197&lt;&gt;"Yes"),3,0)+IF(J197="Yes",2,0)+IF(OR(D197="1 venue",D197="2-6 venues"),1,0)+IF(OR(B197="Specialty coffee",B197="Brunch / cafe",B197="Dessert / bakery"),1,0)+IF(AND(N(H197)&gt;=4.3,N(I197)&gt;=50),1,0)+IF(AND(OR(M197&lt;&gt;"",N197&lt;&gt;""),O197&lt;&gt;""),1,0))</f>
        <v/>
      </c>
      <c r="S197" s="13">
        <f>IF(R197="","",IF(R197&gt;=6,"A",IF(R197&gt;=4,"B","C")))</f>
        <v/>
      </c>
      <c r="T197" s="10" t="n"/>
      <c r="U197" s="14" t="n"/>
      <c r="V197" s="10" t="n"/>
      <c r="W197" s="10" t="n"/>
    </row>
    <row r="198">
      <c r="A198" s="10" t="n"/>
      <c r="B198" s="10" t="n"/>
      <c r="C198" s="10" t="n"/>
      <c r="D198" s="10" t="n"/>
      <c r="E198" s="10" t="n"/>
      <c r="F198" s="11" t="n"/>
      <c r="G198" s="10" t="n"/>
      <c r="H198" s="12" t="n"/>
      <c r="I198" s="11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3">
        <f>IF(A198="","",IF(AND(N(F198)&gt;=3000,G198&lt;&gt;"Yes"),3,0)+IF(J198="Yes",2,0)+IF(OR(D198="1 venue",D198="2-6 venues"),1,0)+IF(OR(B198="Specialty coffee",B198="Brunch / cafe",B198="Dessert / bakery"),1,0)+IF(AND(N(H198)&gt;=4.3,N(I198)&gt;=50),1,0)+IF(AND(OR(M198&lt;&gt;"",N198&lt;&gt;""),O198&lt;&gt;""),1,0))</f>
        <v/>
      </c>
      <c r="S198" s="13">
        <f>IF(R198="","",IF(R198&gt;=6,"A",IF(R198&gt;=4,"B","C")))</f>
        <v/>
      </c>
      <c r="T198" s="10" t="n"/>
      <c r="U198" s="14" t="n"/>
      <c r="V198" s="10" t="n"/>
      <c r="W198" s="10" t="n"/>
    </row>
    <row r="199">
      <c r="A199" s="10" t="n"/>
      <c r="B199" s="10" t="n"/>
      <c r="C199" s="10" t="n"/>
      <c r="D199" s="10" t="n"/>
      <c r="E199" s="10" t="n"/>
      <c r="F199" s="11" t="n"/>
      <c r="G199" s="10" t="n"/>
      <c r="H199" s="12" t="n"/>
      <c r="I199" s="11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3">
        <f>IF(A199="","",IF(AND(N(F199)&gt;=3000,G199&lt;&gt;"Yes"),3,0)+IF(J199="Yes",2,0)+IF(OR(D199="1 venue",D199="2-6 venues"),1,0)+IF(OR(B199="Specialty coffee",B199="Brunch / cafe",B199="Dessert / bakery"),1,0)+IF(AND(N(H199)&gt;=4.3,N(I199)&gt;=50),1,0)+IF(AND(OR(M199&lt;&gt;"",N199&lt;&gt;""),O199&lt;&gt;""),1,0))</f>
        <v/>
      </c>
      <c r="S199" s="13">
        <f>IF(R199="","",IF(R199&gt;=6,"A",IF(R199&gt;=4,"B","C")))</f>
        <v/>
      </c>
      <c r="T199" s="10" t="n"/>
      <c r="U199" s="14" t="n"/>
      <c r="V199" s="10" t="n"/>
      <c r="W199" s="10" t="n"/>
    </row>
    <row r="200">
      <c r="A200" s="10" t="n"/>
      <c r="B200" s="10" t="n"/>
      <c r="C200" s="10" t="n"/>
      <c r="D200" s="10" t="n"/>
      <c r="E200" s="10" t="n"/>
      <c r="F200" s="11" t="n"/>
      <c r="G200" s="10" t="n"/>
      <c r="H200" s="12" t="n"/>
      <c r="I200" s="11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3">
        <f>IF(A200="","",IF(AND(N(F200)&gt;=3000,G200&lt;&gt;"Yes"),3,0)+IF(J200="Yes",2,0)+IF(OR(D200="1 venue",D200="2-6 venues"),1,0)+IF(OR(B200="Specialty coffee",B200="Brunch / cafe",B200="Dessert / bakery"),1,0)+IF(AND(N(H200)&gt;=4.3,N(I200)&gt;=50),1,0)+IF(AND(OR(M200&lt;&gt;"",N200&lt;&gt;""),O200&lt;&gt;""),1,0))</f>
        <v/>
      </c>
      <c r="S200" s="13">
        <f>IF(R200="","",IF(R200&gt;=6,"A",IF(R200&gt;=4,"B","C")))</f>
        <v/>
      </c>
      <c r="T200" s="10" t="n"/>
      <c r="U200" s="14" t="n"/>
      <c r="V200" s="10" t="n"/>
      <c r="W200" s="10" t="n"/>
    </row>
    <row r="201">
      <c r="A201" s="10" t="n"/>
      <c r="B201" s="10" t="n"/>
      <c r="C201" s="10" t="n"/>
      <c r="D201" s="10" t="n"/>
      <c r="E201" s="10" t="n"/>
      <c r="F201" s="11" t="n"/>
      <c r="G201" s="10" t="n"/>
      <c r="H201" s="12" t="n"/>
      <c r="I201" s="11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3">
        <f>IF(A201="","",IF(AND(N(F201)&gt;=3000,G201&lt;&gt;"Yes"),3,0)+IF(J201="Yes",2,0)+IF(OR(D201="1 venue",D201="2-6 venues"),1,0)+IF(OR(B201="Specialty coffee",B201="Brunch / cafe",B201="Dessert / bakery"),1,0)+IF(AND(N(H201)&gt;=4.3,N(I201)&gt;=50),1,0)+IF(AND(OR(M201&lt;&gt;"",N201&lt;&gt;""),O201&lt;&gt;""),1,0))</f>
        <v/>
      </c>
      <c r="S201" s="13">
        <f>IF(R201="","",IF(R201&gt;=6,"A",IF(R201&gt;=4,"B","C")))</f>
        <v/>
      </c>
      <c r="T201" s="10" t="n"/>
      <c r="U201" s="14" t="n"/>
      <c r="V201" s="10" t="n"/>
      <c r="W201" s="10" t="n"/>
    </row>
    <row r="202">
      <c r="A202" s="10" t="n"/>
      <c r="B202" s="10" t="n"/>
      <c r="C202" s="10" t="n"/>
      <c r="D202" s="10" t="n"/>
      <c r="E202" s="10" t="n"/>
      <c r="F202" s="11" t="n"/>
      <c r="G202" s="10" t="n"/>
      <c r="H202" s="12" t="n"/>
      <c r="I202" s="11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3">
        <f>IF(A202="","",IF(AND(N(F202)&gt;=3000,G202&lt;&gt;"Yes"),3,0)+IF(J202="Yes",2,0)+IF(OR(D202="1 venue",D202="2-6 venues"),1,0)+IF(OR(B202="Specialty coffee",B202="Brunch / cafe",B202="Dessert / bakery"),1,0)+IF(AND(N(H202)&gt;=4.3,N(I202)&gt;=50),1,0)+IF(AND(OR(M202&lt;&gt;"",N202&lt;&gt;""),O202&lt;&gt;""),1,0))</f>
        <v/>
      </c>
      <c r="S202" s="13">
        <f>IF(R202="","",IF(R202&gt;=6,"A",IF(R202&gt;=4,"B","C")))</f>
        <v/>
      </c>
      <c r="T202" s="10" t="n"/>
      <c r="U202" s="14" t="n"/>
      <c r="V202" s="10" t="n"/>
      <c r="W202" s="10" t="n"/>
    </row>
    <row r="203">
      <c r="A203" s="10" t="n"/>
      <c r="B203" s="10" t="n"/>
      <c r="C203" s="10" t="n"/>
      <c r="D203" s="10" t="n"/>
      <c r="E203" s="10" t="n"/>
      <c r="F203" s="11" t="n"/>
      <c r="G203" s="10" t="n"/>
      <c r="H203" s="12" t="n"/>
      <c r="I203" s="11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3">
        <f>IF(A203="","",IF(AND(N(F203)&gt;=3000,G203&lt;&gt;"Yes"),3,0)+IF(J203="Yes",2,0)+IF(OR(D203="1 venue",D203="2-6 venues"),1,0)+IF(OR(B203="Specialty coffee",B203="Brunch / cafe",B203="Dessert / bakery"),1,0)+IF(AND(N(H203)&gt;=4.3,N(I203)&gt;=50),1,0)+IF(AND(OR(M203&lt;&gt;"",N203&lt;&gt;""),O203&lt;&gt;""),1,0))</f>
        <v/>
      </c>
      <c r="S203" s="13">
        <f>IF(R203="","",IF(R203&gt;=6,"A",IF(R203&gt;=4,"B","C")))</f>
        <v/>
      </c>
      <c r="T203" s="10" t="n"/>
      <c r="U203" s="14" t="n"/>
      <c r="V203" s="10" t="n"/>
      <c r="W203" s="10" t="n"/>
    </row>
    <row r="204">
      <c r="A204" s="10" t="n"/>
      <c r="B204" s="10" t="n"/>
      <c r="C204" s="10" t="n"/>
      <c r="D204" s="10" t="n"/>
      <c r="E204" s="10" t="n"/>
      <c r="F204" s="11" t="n"/>
      <c r="G204" s="10" t="n"/>
      <c r="H204" s="12" t="n"/>
      <c r="I204" s="11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3">
        <f>IF(A204="","",IF(AND(N(F204)&gt;=3000,G204&lt;&gt;"Yes"),3,0)+IF(J204="Yes",2,0)+IF(OR(D204="1 venue",D204="2-6 venues"),1,0)+IF(OR(B204="Specialty coffee",B204="Brunch / cafe",B204="Dessert / bakery"),1,0)+IF(AND(N(H204)&gt;=4.3,N(I204)&gt;=50),1,0)+IF(AND(OR(M204&lt;&gt;"",N204&lt;&gt;""),O204&lt;&gt;""),1,0))</f>
        <v/>
      </c>
      <c r="S204" s="13">
        <f>IF(R204="","",IF(R204&gt;=6,"A",IF(R204&gt;=4,"B","C")))</f>
        <v/>
      </c>
      <c r="T204" s="10" t="n"/>
      <c r="U204" s="14" t="n"/>
      <c r="V204" s="10" t="n"/>
      <c r="W204" s="10" t="n"/>
    </row>
    <row r="205">
      <c r="A205" s="10" t="n"/>
      <c r="B205" s="10" t="n"/>
      <c r="C205" s="10" t="n"/>
      <c r="D205" s="10" t="n"/>
      <c r="E205" s="10" t="n"/>
      <c r="F205" s="11" t="n"/>
      <c r="G205" s="10" t="n"/>
      <c r="H205" s="12" t="n"/>
      <c r="I205" s="11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3">
        <f>IF(A205="","",IF(AND(N(F205)&gt;=3000,G205&lt;&gt;"Yes"),3,0)+IF(J205="Yes",2,0)+IF(OR(D205="1 venue",D205="2-6 venues"),1,0)+IF(OR(B205="Specialty coffee",B205="Brunch / cafe",B205="Dessert / bakery"),1,0)+IF(AND(N(H205)&gt;=4.3,N(I205)&gt;=50),1,0)+IF(AND(OR(M205&lt;&gt;"",N205&lt;&gt;""),O205&lt;&gt;""),1,0))</f>
        <v/>
      </c>
      <c r="S205" s="13">
        <f>IF(R205="","",IF(R205&gt;=6,"A",IF(R205&gt;=4,"B","C")))</f>
        <v/>
      </c>
      <c r="T205" s="10" t="n"/>
      <c r="U205" s="14" t="n"/>
      <c r="V205" s="10" t="n"/>
      <c r="W205" s="10" t="n"/>
    </row>
    <row r="206">
      <c r="A206" s="10" t="n"/>
      <c r="B206" s="10" t="n"/>
      <c r="C206" s="10" t="n"/>
      <c r="D206" s="10" t="n"/>
      <c r="E206" s="10" t="n"/>
      <c r="F206" s="11" t="n"/>
      <c r="G206" s="10" t="n"/>
      <c r="H206" s="12" t="n"/>
      <c r="I206" s="11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3">
        <f>IF(A206="","",IF(AND(N(F206)&gt;=3000,G206&lt;&gt;"Yes"),3,0)+IF(J206="Yes",2,0)+IF(OR(D206="1 venue",D206="2-6 venues"),1,0)+IF(OR(B206="Specialty coffee",B206="Brunch / cafe",B206="Dessert / bakery"),1,0)+IF(AND(N(H206)&gt;=4.3,N(I206)&gt;=50),1,0)+IF(AND(OR(M206&lt;&gt;"",N206&lt;&gt;""),O206&lt;&gt;""),1,0))</f>
        <v/>
      </c>
      <c r="S206" s="13">
        <f>IF(R206="","",IF(R206&gt;=6,"A",IF(R206&gt;=4,"B","C")))</f>
        <v/>
      </c>
      <c r="T206" s="10" t="n"/>
      <c r="U206" s="14" t="n"/>
      <c r="V206" s="10" t="n"/>
      <c r="W206" s="10" t="n"/>
    </row>
    <row r="207">
      <c r="A207" s="10" t="n"/>
      <c r="B207" s="10" t="n"/>
      <c r="C207" s="10" t="n"/>
      <c r="D207" s="10" t="n"/>
      <c r="E207" s="10" t="n"/>
      <c r="F207" s="11" t="n"/>
      <c r="G207" s="10" t="n"/>
      <c r="H207" s="12" t="n"/>
      <c r="I207" s="11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3">
        <f>IF(A207="","",IF(AND(N(F207)&gt;=3000,G207&lt;&gt;"Yes"),3,0)+IF(J207="Yes",2,0)+IF(OR(D207="1 venue",D207="2-6 venues"),1,0)+IF(OR(B207="Specialty coffee",B207="Brunch / cafe",B207="Dessert / bakery"),1,0)+IF(AND(N(H207)&gt;=4.3,N(I207)&gt;=50),1,0)+IF(AND(OR(M207&lt;&gt;"",N207&lt;&gt;""),O207&lt;&gt;""),1,0))</f>
        <v/>
      </c>
      <c r="S207" s="13">
        <f>IF(R207="","",IF(R207&gt;=6,"A",IF(R207&gt;=4,"B","C")))</f>
        <v/>
      </c>
      <c r="T207" s="10" t="n"/>
      <c r="U207" s="14" t="n"/>
      <c r="V207" s="10" t="n"/>
      <c r="W207" s="10" t="n"/>
    </row>
    <row r="208">
      <c r="A208" s="10" t="n"/>
      <c r="B208" s="10" t="n"/>
      <c r="C208" s="10" t="n"/>
      <c r="D208" s="10" t="n"/>
      <c r="E208" s="10" t="n"/>
      <c r="F208" s="11" t="n"/>
      <c r="G208" s="10" t="n"/>
      <c r="H208" s="12" t="n"/>
      <c r="I208" s="11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3">
        <f>IF(A208="","",IF(AND(N(F208)&gt;=3000,G208&lt;&gt;"Yes"),3,0)+IF(J208="Yes",2,0)+IF(OR(D208="1 venue",D208="2-6 venues"),1,0)+IF(OR(B208="Specialty coffee",B208="Brunch / cafe",B208="Dessert / bakery"),1,0)+IF(AND(N(H208)&gt;=4.3,N(I208)&gt;=50),1,0)+IF(AND(OR(M208&lt;&gt;"",N208&lt;&gt;""),O208&lt;&gt;""),1,0))</f>
        <v/>
      </c>
      <c r="S208" s="13">
        <f>IF(R208="","",IF(R208&gt;=6,"A",IF(R208&gt;=4,"B","C")))</f>
        <v/>
      </c>
      <c r="T208" s="10" t="n"/>
      <c r="U208" s="14" t="n"/>
      <c r="V208" s="10" t="n"/>
      <c r="W208" s="10" t="n"/>
    </row>
    <row r="209">
      <c r="A209" s="10" t="n"/>
      <c r="B209" s="10" t="n"/>
      <c r="C209" s="10" t="n"/>
      <c r="D209" s="10" t="n"/>
      <c r="E209" s="10" t="n"/>
      <c r="F209" s="11" t="n"/>
      <c r="G209" s="10" t="n"/>
      <c r="H209" s="12" t="n"/>
      <c r="I209" s="11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3">
        <f>IF(A209="","",IF(AND(N(F209)&gt;=3000,G209&lt;&gt;"Yes"),3,0)+IF(J209="Yes",2,0)+IF(OR(D209="1 venue",D209="2-6 venues"),1,0)+IF(OR(B209="Specialty coffee",B209="Brunch / cafe",B209="Dessert / bakery"),1,0)+IF(AND(N(H209)&gt;=4.3,N(I209)&gt;=50),1,0)+IF(AND(OR(M209&lt;&gt;"",N209&lt;&gt;""),O209&lt;&gt;""),1,0))</f>
        <v/>
      </c>
      <c r="S209" s="13">
        <f>IF(R209="","",IF(R209&gt;=6,"A",IF(R209&gt;=4,"B","C")))</f>
        <v/>
      </c>
      <c r="T209" s="10" t="n"/>
      <c r="U209" s="14" t="n"/>
      <c r="V209" s="10" t="n"/>
      <c r="W209" s="10" t="n"/>
    </row>
    <row r="210">
      <c r="A210" s="10" t="n"/>
      <c r="B210" s="10" t="n"/>
      <c r="C210" s="10" t="n"/>
      <c r="D210" s="10" t="n"/>
      <c r="E210" s="10" t="n"/>
      <c r="F210" s="11" t="n"/>
      <c r="G210" s="10" t="n"/>
      <c r="H210" s="12" t="n"/>
      <c r="I210" s="11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3">
        <f>IF(A210="","",IF(AND(N(F210)&gt;=3000,G210&lt;&gt;"Yes"),3,0)+IF(J210="Yes",2,0)+IF(OR(D210="1 venue",D210="2-6 venues"),1,0)+IF(OR(B210="Specialty coffee",B210="Brunch / cafe",B210="Dessert / bakery"),1,0)+IF(AND(N(H210)&gt;=4.3,N(I210)&gt;=50),1,0)+IF(AND(OR(M210&lt;&gt;"",N210&lt;&gt;""),O210&lt;&gt;""),1,0))</f>
        <v/>
      </c>
      <c r="S210" s="13">
        <f>IF(R210="","",IF(R210&gt;=6,"A",IF(R210&gt;=4,"B","C")))</f>
        <v/>
      </c>
      <c r="T210" s="10" t="n"/>
      <c r="U210" s="14" t="n"/>
      <c r="V210" s="10" t="n"/>
      <c r="W210" s="10" t="n"/>
    </row>
    <row r="211">
      <c r="A211" s="10" t="n"/>
      <c r="B211" s="10" t="n"/>
      <c r="C211" s="10" t="n"/>
      <c r="D211" s="10" t="n"/>
      <c r="E211" s="10" t="n"/>
      <c r="F211" s="11" t="n"/>
      <c r="G211" s="10" t="n"/>
      <c r="H211" s="12" t="n"/>
      <c r="I211" s="11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3">
        <f>IF(A211="","",IF(AND(N(F211)&gt;=3000,G211&lt;&gt;"Yes"),3,0)+IF(J211="Yes",2,0)+IF(OR(D211="1 venue",D211="2-6 venues"),1,0)+IF(OR(B211="Specialty coffee",B211="Brunch / cafe",B211="Dessert / bakery"),1,0)+IF(AND(N(H211)&gt;=4.3,N(I211)&gt;=50),1,0)+IF(AND(OR(M211&lt;&gt;"",N211&lt;&gt;""),O211&lt;&gt;""),1,0))</f>
        <v/>
      </c>
      <c r="S211" s="13">
        <f>IF(R211="","",IF(R211&gt;=6,"A",IF(R211&gt;=4,"B","C")))</f>
        <v/>
      </c>
      <c r="T211" s="10" t="n"/>
      <c r="U211" s="14" t="n"/>
      <c r="V211" s="10" t="n"/>
      <c r="W211" s="10" t="n"/>
    </row>
    <row r="212">
      <c r="A212" s="10" t="n"/>
      <c r="B212" s="10" t="n"/>
      <c r="C212" s="10" t="n"/>
      <c r="D212" s="10" t="n"/>
      <c r="E212" s="10" t="n"/>
      <c r="F212" s="11" t="n"/>
      <c r="G212" s="10" t="n"/>
      <c r="H212" s="12" t="n"/>
      <c r="I212" s="11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3">
        <f>IF(A212="","",IF(AND(N(F212)&gt;=3000,G212&lt;&gt;"Yes"),3,0)+IF(J212="Yes",2,0)+IF(OR(D212="1 venue",D212="2-6 venues"),1,0)+IF(OR(B212="Specialty coffee",B212="Brunch / cafe",B212="Dessert / bakery"),1,0)+IF(AND(N(H212)&gt;=4.3,N(I212)&gt;=50),1,0)+IF(AND(OR(M212&lt;&gt;"",N212&lt;&gt;""),O212&lt;&gt;""),1,0))</f>
        <v/>
      </c>
      <c r="S212" s="13">
        <f>IF(R212="","",IF(R212&gt;=6,"A",IF(R212&gt;=4,"B","C")))</f>
        <v/>
      </c>
      <c r="T212" s="10" t="n"/>
      <c r="U212" s="14" t="n"/>
      <c r="V212" s="10" t="n"/>
      <c r="W212" s="10" t="n"/>
    </row>
    <row r="213">
      <c r="A213" s="10" t="n"/>
      <c r="B213" s="10" t="n"/>
      <c r="C213" s="10" t="n"/>
      <c r="D213" s="10" t="n"/>
      <c r="E213" s="10" t="n"/>
      <c r="F213" s="11" t="n"/>
      <c r="G213" s="10" t="n"/>
      <c r="H213" s="12" t="n"/>
      <c r="I213" s="11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3">
        <f>IF(A213="","",IF(AND(N(F213)&gt;=3000,G213&lt;&gt;"Yes"),3,0)+IF(J213="Yes",2,0)+IF(OR(D213="1 venue",D213="2-6 venues"),1,0)+IF(OR(B213="Specialty coffee",B213="Brunch / cafe",B213="Dessert / bakery"),1,0)+IF(AND(N(H213)&gt;=4.3,N(I213)&gt;=50),1,0)+IF(AND(OR(M213&lt;&gt;"",N213&lt;&gt;""),O213&lt;&gt;""),1,0))</f>
        <v/>
      </c>
      <c r="S213" s="13">
        <f>IF(R213="","",IF(R213&gt;=6,"A",IF(R213&gt;=4,"B","C")))</f>
        <v/>
      </c>
      <c r="T213" s="10" t="n"/>
      <c r="U213" s="14" t="n"/>
      <c r="V213" s="10" t="n"/>
      <c r="W213" s="10" t="n"/>
    </row>
    <row r="214">
      <c r="A214" s="10" t="n"/>
      <c r="B214" s="10" t="n"/>
      <c r="C214" s="10" t="n"/>
      <c r="D214" s="10" t="n"/>
      <c r="E214" s="10" t="n"/>
      <c r="F214" s="11" t="n"/>
      <c r="G214" s="10" t="n"/>
      <c r="H214" s="12" t="n"/>
      <c r="I214" s="11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3">
        <f>IF(A214="","",IF(AND(N(F214)&gt;=3000,G214&lt;&gt;"Yes"),3,0)+IF(J214="Yes",2,0)+IF(OR(D214="1 venue",D214="2-6 venues"),1,0)+IF(OR(B214="Specialty coffee",B214="Brunch / cafe",B214="Dessert / bakery"),1,0)+IF(AND(N(H214)&gt;=4.3,N(I214)&gt;=50),1,0)+IF(AND(OR(M214&lt;&gt;"",N214&lt;&gt;""),O214&lt;&gt;""),1,0))</f>
        <v/>
      </c>
      <c r="S214" s="13">
        <f>IF(R214="","",IF(R214&gt;=6,"A",IF(R214&gt;=4,"B","C")))</f>
        <v/>
      </c>
      <c r="T214" s="10" t="n"/>
      <c r="U214" s="14" t="n"/>
      <c r="V214" s="10" t="n"/>
      <c r="W214" s="10" t="n"/>
    </row>
    <row r="215">
      <c r="A215" s="10" t="n"/>
      <c r="B215" s="10" t="n"/>
      <c r="C215" s="10" t="n"/>
      <c r="D215" s="10" t="n"/>
      <c r="E215" s="10" t="n"/>
      <c r="F215" s="11" t="n"/>
      <c r="G215" s="10" t="n"/>
      <c r="H215" s="12" t="n"/>
      <c r="I215" s="11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3">
        <f>IF(A215="","",IF(AND(N(F215)&gt;=3000,G215&lt;&gt;"Yes"),3,0)+IF(J215="Yes",2,0)+IF(OR(D215="1 venue",D215="2-6 venues"),1,0)+IF(OR(B215="Specialty coffee",B215="Brunch / cafe",B215="Dessert / bakery"),1,0)+IF(AND(N(H215)&gt;=4.3,N(I215)&gt;=50),1,0)+IF(AND(OR(M215&lt;&gt;"",N215&lt;&gt;""),O215&lt;&gt;""),1,0))</f>
        <v/>
      </c>
      <c r="S215" s="13">
        <f>IF(R215="","",IF(R215&gt;=6,"A",IF(R215&gt;=4,"B","C")))</f>
        <v/>
      </c>
      <c r="T215" s="10" t="n"/>
      <c r="U215" s="14" t="n"/>
      <c r="V215" s="10" t="n"/>
      <c r="W215" s="10" t="n"/>
    </row>
    <row r="216">
      <c r="A216" s="10" t="n"/>
      <c r="B216" s="10" t="n"/>
      <c r="C216" s="10" t="n"/>
      <c r="D216" s="10" t="n"/>
      <c r="E216" s="10" t="n"/>
      <c r="F216" s="11" t="n"/>
      <c r="G216" s="10" t="n"/>
      <c r="H216" s="12" t="n"/>
      <c r="I216" s="11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3">
        <f>IF(A216="","",IF(AND(N(F216)&gt;=3000,G216&lt;&gt;"Yes"),3,0)+IF(J216="Yes",2,0)+IF(OR(D216="1 venue",D216="2-6 venues"),1,0)+IF(OR(B216="Specialty coffee",B216="Brunch / cafe",B216="Dessert / bakery"),1,0)+IF(AND(N(H216)&gt;=4.3,N(I216)&gt;=50),1,0)+IF(AND(OR(M216&lt;&gt;"",N216&lt;&gt;""),O216&lt;&gt;""),1,0))</f>
        <v/>
      </c>
      <c r="S216" s="13">
        <f>IF(R216="","",IF(R216&gt;=6,"A",IF(R216&gt;=4,"B","C")))</f>
        <v/>
      </c>
      <c r="T216" s="10" t="n"/>
      <c r="U216" s="14" t="n"/>
      <c r="V216" s="10" t="n"/>
      <c r="W216" s="10" t="n"/>
    </row>
    <row r="217">
      <c r="A217" s="10" t="n"/>
      <c r="B217" s="10" t="n"/>
      <c r="C217" s="10" t="n"/>
      <c r="D217" s="10" t="n"/>
      <c r="E217" s="10" t="n"/>
      <c r="F217" s="11" t="n"/>
      <c r="G217" s="10" t="n"/>
      <c r="H217" s="12" t="n"/>
      <c r="I217" s="11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3">
        <f>IF(A217="","",IF(AND(N(F217)&gt;=3000,G217&lt;&gt;"Yes"),3,0)+IF(J217="Yes",2,0)+IF(OR(D217="1 venue",D217="2-6 venues"),1,0)+IF(OR(B217="Specialty coffee",B217="Brunch / cafe",B217="Dessert / bakery"),1,0)+IF(AND(N(H217)&gt;=4.3,N(I217)&gt;=50),1,0)+IF(AND(OR(M217&lt;&gt;"",N217&lt;&gt;""),O217&lt;&gt;""),1,0))</f>
        <v/>
      </c>
      <c r="S217" s="13">
        <f>IF(R217="","",IF(R217&gt;=6,"A",IF(R217&gt;=4,"B","C")))</f>
        <v/>
      </c>
      <c r="T217" s="10" t="n"/>
      <c r="U217" s="14" t="n"/>
      <c r="V217" s="10" t="n"/>
      <c r="W217" s="10" t="n"/>
    </row>
    <row r="218">
      <c r="A218" s="10" t="n"/>
      <c r="B218" s="10" t="n"/>
      <c r="C218" s="10" t="n"/>
      <c r="D218" s="10" t="n"/>
      <c r="E218" s="10" t="n"/>
      <c r="F218" s="11" t="n"/>
      <c r="G218" s="10" t="n"/>
      <c r="H218" s="12" t="n"/>
      <c r="I218" s="11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3">
        <f>IF(A218="","",IF(AND(N(F218)&gt;=3000,G218&lt;&gt;"Yes"),3,0)+IF(J218="Yes",2,0)+IF(OR(D218="1 venue",D218="2-6 venues"),1,0)+IF(OR(B218="Specialty coffee",B218="Brunch / cafe",B218="Dessert / bakery"),1,0)+IF(AND(N(H218)&gt;=4.3,N(I218)&gt;=50),1,0)+IF(AND(OR(M218&lt;&gt;"",N218&lt;&gt;""),O218&lt;&gt;""),1,0))</f>
        <v/>
      </c>
      <c r="S218" s="13">
        <f>IF(R218="","",IF(R218&gt;=6,"A",IF(R218&gt;=4,"B","C")))</f>
        <v/>
      </c>
      <c r="T218" s="10" t="n"/>
      <c r="U218" s="14" t="n"/>
      <c r="V218" s="10" t="n"/>
      <c r="W218" s="10" t="n"/>
    </row>
    <row r="219">
      <c r="A219" s="10" t="n"/>
      <c r="B219" s="10" t="n"/>
      <c r="C219" s="10" t="n"/>
      <c r="D219" s="10" t="n"/>
      <c r="E219" s="10" t="n"/>
      <c r="F219" s="11" t="n"/>
      <c r="G219" s="10" t="n"/>
      <c r="H219" s="12" t="n"/>
      <c r="I219" s="11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3">
        <f>IF(A219="","",IF(AND(N(F219)&gt;=3000,G219&lt;&gt;"Yes"),3,0)+IF(J219="Yes",2,0)+IF(OR(D219="1 venue",D219="2-6 venues"),1,0)+IF(OR(B219="Specialty coffee",B219="Brunch / cafe",B219="Dessert / bakery"),1,0)+IF(AND(N(H219)&gt;=4.3,N(I219)&gt;=50),1,0)+IF(AND(OR(M219&lt;&gt;"",N219&lt;&gt;""),O219&lt;&gt;""),1,0))</f>
        <v/>
      </c>
      <c r="S219" s="13">
        <f>IF(R219="","",IF(R219&gt;=6,"A",IF(R219&gt;=4,"B","C")))</f>
        <v/>
      </c>
      <c r="T219" s="10" t="n"/>
      <c r="U219" s="14" t="n"/>
      <c r="V219" s="10" t="n"/>
      <c r="W219" s="10" t="n"/>
    </row>
    <row r="220">
      <c r="A220" s="10" t="n"/>
      <c r="B220" s="10" t="n"/>
      <c r="C220" s="10" t="n"/>
      <c r="D220" s="10" t="n"/>
      <c r="E220" s="10" t="n"/>
      <c r="F220" s="11" t="n"/>
      <c r="G220" s="10" t="n"/>
      <c r="H220" s="12" t="n"/>
      <c r="I220" s="11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3">
        <f>IF(A220="","",IF(AND(N(F220)&gt;=3000,G220&lt;&gt;"Yes"),3,0)+IF(J220="Yes",2,0)+IF(OR(D220="1 venue",D220="2-6 venues"),1,0)+IF(OR(B220="Specialty coffee",B220="Brunch / cafe",B220="Dessert / bakery"),1,0)+IF(AND(N(H220)&gt;=4.3,N(I220)&gt;=50),1,0)+IF(AND(OR(M220&lt;&gt;"",N220&lt;&gt;""),O220&lt;&gt;""),1,0))</f>
        <v/>
      </c>
      <c r="S220" s="13">
        <f>IF(R220="","",IF(R220&gt;=6,"A",IF(R220&gt;=4,"B","C")))</f>
        <v/>
      </c>
      <c r="T220" s="10" t="n"/>
      <c r="U220" s="14" t="n"/>
      <c r="V220" s="10" t="n"/>
      <c r="W220" s="10" t="n"/>
    </row>
    <row r="221">
      <c r="A221" s="10" t="n"/>
      <c r="B221" s="10" t="n"/>
      <c r="C221" s="10" t="n"/>
      <c r="D221" s="10" t="n"/>
      <c r="E221" s="10" t="n"/>
      <c r="F221" s="11" t="n"/>
      <c r="G221" s="10" t="n"/>
      <c r="H221" s="12" t="n"/>
      <c r="I221" s="11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3">
        <f>IF(A221="","",IF(AND(N(F221)&gt;=3000,G221&lt;&gt;"Yes"),3,0)+IF(J221="Yes",2,0)+IF(OR(D221="1 venue",D221="2-6 venues"),1,0)+IF(OR(B221="Specialty coffee",B221="Brunch / cafe",B221="Dessert / bakery"),1,0)+IF(AND(N(H221)&gt;=4.3,N(I221)&gt;=50),1,0)+IF(AND(OR(M221&lt;&gt;"",N221&lt;&gt;""),O221&lt;&gt;""),1,0))</f>
        <v/>
      </c>
      <c r="S221" s="13">
        <f>IF(R221="","",IF(R221&gt;=6,"A",IF(R221&gt;=4,"B","C")))</f>
        <v/>
      </c>
      <c r="T221" s="10" t="n"/>
      <c r="U221" s="14" t="n"/>
      <c r="V221" s="10" t="n"/>
      <c r="W221" s="10" t="n"/>
    </row>
    <row r="222">
      <c r="A222" s="10" t="n"/>
      <c r="B222" s="10" t="n"/>
      <c r="C222" s="10" t="n"/>
      <c r="D222" s="10" t="n"/>
      <c r="E222" s="10" t="n"/>
      <c r="F222" s="11" t="n"/>
      <c r="G222" s="10" t="n"/>
      <c r="H222" s="12" t="n"/>
      <c r="I222" s="11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3">
        <f>IF(A222="","",IF(AND(N(F222)&gt;=3000,G222&lt;&gt;"Yes"),3,0)+IF(J222="Yes",2,0)+IF(OR(D222="1 venue",D222="2-6 venues"),1,0)+IF(OR(B222="Specialty coffee",B222="Brunch / cafe",B222="Dessert / bakery"),1,0)+IF(AND(N(H222)&gt;=4.3,N(I222)&gt;=50),1,0)+IF(AND(OR(M222&lt;&gt;"",N222&lt;&gt;""),O222&lt;&gt;""),1,0))</f>
        <v/>
      </c>
      <c r="S222" s="13">
        <f>IF(R222="","",IF(R222&gt;=6,"A",IF(R222&gt;=4,"B","C")))</f>
        <v/>
      </c>
      <c r="T222" s="10" t="n"/>
      <c r="U222" s="14" t="n"/>
      <c r="V222" s="10" t="n"/>
      <c r="W222" s="10" t="n"/>
    </row>
    <row r="223">
      <c r="A223" s="10" t="n"/>
      <c r="B223" s="10" t="n"/>
      <c r="C223" s="10" t="n"/>
      <c r="D223" s="10" t="n"/>
      <c r="E223" s="10" t="n"/>
      <c r="F223" s="11" t="n"/>
      <c r="G223" s="10" t="n"/>
      <c r="H223" s="12" t="n"/>
      <c r="I223" s="11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3">
        <f>IF(A223="","",IF(AND(N(F223)&gt;=3000,G223&lt;&gt;"Yes"),3,0)+IF(J223="Yes",2,0)+IF(OR(D223="1 venue",D223="2-6 venues"),1,0)+IF(OR(B223="Specialty coffee",B223="Brunch / cafe",B223="Dessert / bakery"),1,0)+IF(AND(N(H223)&gt;=4.3,N(I223)&gt;=50),1,0)+IF(AND(OR(M223&lt;&gt;"",N223&lt;&gt;""),O223&lt;&gt;""),1,0))</f>
        <v/>
      </c>
      <c r="S223" s="13">
        <f>IF(R223="","",IF(R223&gt;=6,"A",IF(R223&gt;=4,"B","C")))</f>
        <v/>
      </c>
      <c r="T223" s="10" t="n"/>
      <c r="U223" s="14" t="n"/>
      <c r="V223" s="10" t="n"/>
      <c r="W223" s="10" t="n"/>
    </row>
    <row r="224">
      <c r="A224" s="10" t="n"/>
      <c r="B224" s="10" t="n"/>
      <c r="C224" s="10" t="n"/>
      <c r="D224" s="10" t="n"/>
      <c r="E224" s="10" t="n"/>
      <c r="F224" s="11" t="n"/>
      <c r="G224" s="10" t="n"/>
      <c r="H224" s="12" t="n"/>
      <c r="I224" s="11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3">
        <f>IF(A224="","",IF(AND(N(F224)&gt;=3000,G224&lt;&gt;"Yes"),3,0)+IF(J224="Yes",2,0)+IF(OR(D224="1 venue",D224="2-6 venues"),1,0)+IF(OR(B224="Specialty coffee",B224="Brunch / cafe",B224="Dessert / bakery"),1,0)+IF(AND(N(H224)&gt;=4.3,N(I224)&gt;=50),1,0)+IF(AND(OR(M224&lt;&gt;"",N224&lt;&gt;""),O224&lt;&gt;""),1,0))</f>
        <v/>
      </c>
      <c r="S224" s="13">
        <f>IF(R224="","",IF(R224&gt;=6,"A",IF(R224&gt;=4,"B","C")))</f>
        <v/>
      </c>
      <c r="T224" s="10" t="n"/>
      <c r="U224" s="14" t="n"/>
      <c r="V224" s="10" t="n"/>
      <c r="W224" s="10" t="n"/>
    </row>
    <row r="225">
      <c r="A225" s="10" t="n"/>
      <c r="B225" s="10" t="n"/>
      <c r="C225" s="10" t="n"/>
      <c r="D225" s="10" t="n"/>
      <c r="E225" s="10" t="n"/>
      <c r="F225" s="11" t="n"/>
      <c r="G225" s="10" t="n"/>
      <c r="H225" s="12" t="n"/>
      <c r="I225" s="11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3">
        <f>IF(A225="","",IF(AND(N(F225)&gt;=3000,G225&lt;&gt;"Yes"),3,0)+IF(J225="Yes",2,0)+IF(OR(D225="1 venue",D225="2-6 venues"),1,0)+IF(OR(B225="Specialty coffee",B225="Brunch / cafe",B225="Dessert / bakery"),1,0)+IF(AND(N(H225)&gt;=4.3,N(I225)&gt;=50),1,0)+IF(AND(OR(M225&lt;&gt;"",N225&lt;&gt;""),O225&lt;&gt;""),1,0))</f>
        <v/>
      </c>
      <c r="S225" s="13">
        <f>IF(R225="","",IF(R225&gt;=6,"A",IF(R225&gt;=4,"B","C")))</f>
        <v/>
      </c>
      <c r="T225" s="10" t="n"/>
      <c r="U225" s="14" t="n"/>
      <c r="V225" s="10" t="n"/>
      <c r="W225" s="10" t="n"/>
    </row>
    <row r="226">
      <c r="A226" s="10" t="n"/>
      <c r="B226" s="10" t="n"/>
      <c r="C226" s="10" t="n"/>
      <c r="D226" s="10" t="n"/>
      <c r="E226" s="10" t="n"/>
      <c r="F226" s="11" t="n"/>
      <c r="G226" s="10" t="n"/>
      <c r="H226" s="12" t="n"/>
      <c r="I226" s="11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3">
        <f>IF(A226="","",IF(AND(N(F226)&gt;=3000,G226&lt;&gt;"Yes"),3,0)+IF(J226="Yes",2,0)+IF(OR(D226="1 venue",D226="2-6 venues"),1,0)+IF(OR(B226="Specialty coffee",B226="Brunch / cafe",B226="Dessert / bakery"),1,0)+IF(AND(N(H226)&gt;=4.3,N(I226)&gt;=50),1,0)+IF(AND(OR(M226&lt;&gt;"",N226&lt;&gt;""),O226&lt;&gt;""),1,0))</f>
        <v/>
      </c>
      <c r="S226" s="13">
        <f>IF(R226="","",IF(R226&gt;=6,"A",IF(R226&gt;=4,"B","C")))</f>
        <v/>
      </c>
      <c r="T226" s="10" t="n"/>
      <c r="U226" s="14" t="n"/>
      <c r="V226" s="10" t="n"/>
      <c r="W226" s="10" t="n"/>
    </row>
    <row r="227">
      <c r="A227" s="10" t="n"/>
      <c r="B227" s="10" t="n"/>
      <c r="C227" s="10" t="n"/>
      <c r="D227" s="10" t="n"/>
      <c r="E227" s="10" t="n"/>
      <c r="F227" s="11" t="n"/>
      <c r="G227" s="10" t="n"/>
      <c r="H227" s="12" t="n"/>
      <c r="I227" s="11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3">
        <f>IF(A227="","",IF(AND(N(F227)&gt;=3000,G227&lt;&gt;"Yes"),3,0)+IF(J227="Yes",2,0)+IF(OR(D227="1 venue",D227="2-6 venues"),1,0)+IF(OR(B227="Specialty coffee",B227="Brunch / cafe",B227="Dessert / bakery"),1,0)+IF(AND(N(H227)&gt;=4.3,N(I227)&gt;=50),1,0)+IF(AND(OR(M227&lt;&gt;"",N227&lt;&gt;""),O227&lt;&gt;""),1,0))</f>
        <v/>
      </c>
      <c r="S227" s="13">
        <f>IF(R227="","",IF(R227&gt;=6,"A",IF(R227&gt;=4,"B","C")))</f>
        <v/>
      </c>
      <c r="T227" s="10" t="n"/>
      <c r="U227" s="14" t="n"/>
      <c r="V227" s="10" t="n"/>
      <c r="W227" s="10" t="n"/>
    </row>
    <row r="228">
      <c r="A228" s="10" t="n"/>
      <c r="B228" s="10" t="n"/>
      <c r="C228" s="10" t="n"/>
      <c r="D228" s="10" t="n"/>
      <c r="E228" s="10" t="n"/>
      <c r="F228" s="11" t="n"/>
      <c r="G228" s="10" t="n"/>
      <c r="H228" s="12" t="n"/>
      <c r="I228" s="11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3">
        <f>IF(A228="","",IF(AND(N(F228)&gt;=3000,G228&lt;&gt;"Yes"),3,0)+IF(J228="Yes",2,0)+IF(OR(D228="1 venue",D228="2-6 venues"),1,0)+IF(OR(B228="Specialty coffee",B228="Brunch / cafe",B228="Dessert / bakery"),1,0)+IF(AND(N(H228)&gt;=4.3,N(I228)&gt;=50),1,0)+IF(AND(OR(M228&lt;&gt;"",N228&lt;&gt;""),O228&lt;&gt;""),1,0))</f>
        <v/>
      </c>
      <c r="S228" s="13">
        <f>IF(R228="","",IF(R228&gt;=6,"A",IF(R228&gt;=4,"B","C")))</f>
        <v/>
      </c>
      <c r="T228" s="10" t="n"/>
      <c r="U228" s="14" t="n"/>
      <c r="V228" s="10" t="n"/>
      <c r="W228" s="10" t="n"/>
    </row>
    <row r="229">
      <c r="A229" s="10" t="n"/>
      <c r="B229" s="10" t="n"/>
      <c r="C229" s="10" t="n"/>
      <c r="D229" s="10" t="n"/>
      <c r="E229" s="10" t="n"/>
      <c r="F229" s="11" t="n"/>
      <c r="G229" s="10" t="n"/>
      <c r="H229" s="12" t="n"/>
      <c r="I229" s="11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3">
        <f>IF(A229="","",IF(AND(N(F229)&gt;=3000,G229&lt;&gt;"Yes"),3,0)+IF(J229="Yes",2,0)+IF(OR(D229="1 venue",D229="2-6 venues"),1,0)+IF(OR(B229="Specialty coffee",B229="Brunch / cafe",B229="Dessert / bakery"),1,0)+IF(AND(N(H229)&gt;=4.3,N(I229)&gt;=50),1,0)+IF(AND(OR(M229&lt;&gt;"",N229&lt;&gt;""),O229&lt;&gt;""),1,0))</f>
        <v/>
      </c>
      <c r="S229" s="13">
        <f>IF(R229="","",IF(R229&gt;=6,"A",IF(R229&gt;=4,"B","C")))</f>
        <v/>
      </c>
      <c r="T229" s="10" t="n"/>
      <c r="U229" s="14" t="n"/>
      <c r="V229" s="10" t="n"/>
      <c r="W229" s="10" t="n"/>
    </row>
    <row r="230">
      <c r="A230" s="10" t="n"/>
      <c r="B230" s="10" t="n"/>
      <c r="C230" s="10" t="n"/>
      <c r="D230" s="10" t="n"/>
      <c r="E230" s="10" t="n"/>
      <c r="F230" s="11" t="n"/>
      <c r="G230" s="10" t="n"/>
      <c r="H230" s="12" t="n"/>
      <c r="I230" s="11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3">
        <f>IF(A230="","",IF(AND(N(F230)&gt;=3000,G230&lt;&gt;"Yes"),3,0)+IF(J230="Yes",2,0)+IF(OR(D230="1 venue",D230="2-6 venues"),1,0)+IF(OR(B230="Specialty coffee",B230="Brunch / cafe",B230="Dessert / bakery"),1,0)+IF(AND(N(H230)&gt;=4.3,N(I230)&gt;=50),1,0)+IF(AND(OR(M230&lt;&gt;"",N230&lt;&gt;""),O230&lt;&gt;""),1,0))</f>
        <v/>
      </c>
      <c r="S230" s="13">
        <f>IF(R230="","",IF(R230&gt;=6,"A",IF(R230&gt;=4,"B","C")))</f>
        <v/>
      </c>
      <c r="T230" s="10" t="n"/>
      <c r="U230" s="14" t="n"/>
      <c r="V230" s="10" t="n"/>
      <c r="W230" s="10" t="n"/>
    </row>
    <row r="231">
      <c r="A231" s="10" t="n"/>
      <c r="B231" s="10" t="n"/>
      <c r="C231" s="10" t="n"/>
      <c r="D231" s="10" t="n"/>
      <c r="E231" s="10" t="n"/>
      <c r="F231" s="11" t="n"/>
      <c r="G231" s="10" t="n"/>
      <c r="H231" s="12" t="n"/>
      <c r="I231" s="11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3">
        <f>IF(A231="","",IF(AND(N(F231)&gt;=3000,G231&lt;&gt;"Yes"),3,0)+IF(J231="Yes",2,0)+IF(OR(D231="1 venue",D231="2-6 venues"),1,0)+IF(OR(B231="Specialty coffee",B231="Brunch / cafe",B231="Dessert / bakery"),1,0)+IF(AND(N(H231)&gt;=4.3,N(I231)&gt;=50),1,0)+IF(AND(OR(M231&lt;&gt;"",N231&lt;&gt;""),O231&lt;&gt;""),1,0))</f>
        <v/>
      </c>
      <c r="S231" s="13">
        <f>IF(R231="","",IF(R231&gt;=6,"A",IF(R231&gt;=4,"B","C")))</f>
        <v/>
      </c>
      <c r="T231" s="10" t="n"/>
      <c r="U231" s="14" t="n"/>
      <c r="V231" s="10" t="n"/>
      <c r="W231" s="10" t="n"/>
    </row>
    <row r="232">
      <c r="A232" s="10" t="n"/>
      <c r="B232" s="10" t="n"/>
      <c r="C232" s="10" t="n"/>
      <c r="D232" s="10" t="n"/>
      <c r="E232" s="10" t="n"/>
      <c r="F232" s="11" t="n"/>
      <c r="G232" s="10" t="n"/>
      <c r="H232" s="12" t="n"/>
      <c r="I232" s="11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3">
        <f>IF(A232="","",IF(AND(N(F232)&gt;=3000,G232&lt;&gt;"Yes"),3,0)+IF(J232="Yes",2,0)+IF(OR(D232="1 venue",D232="2-6 venues"),1,0)+IF(OR(B232="Specialty coffee",B232="Brunch / cafe",B232="Dessert / bakery"),1,0)+IF(AND(N(H232)&gt;=4.3,N(I232)&gt;=50),1,0)+IF(AND(OR(M232&lt;&gt;"",N232&lt;&gt;""),O232&lt;&gt;""),1,0))</f>
        <v/>
      </c>
      <c r="S232" s="13">
        <f>IF(R232="","",IF(R232&gt;=6,"A",IF(R232&gt;=4,"B","C")))</f>
        <v/>
      </c>
      <c r="T232" s="10" t="n"/>
      <c r="U232" s="14" t="n"/>
      <c r="V232" s="10" t="n"/>
      <c r="W232" s="10" t="n"/>
    </row>
    <row r="233">
      <c r="A233" s="10" t="n"/>
      <c r="B233" s="10" t="n"/>
      <c r="C233" s="10" t="n"/>
      <c r="D233" s="10" t="n"/>
      <c r="E233" s="10" t="n"/>
      <c r="F233" s="11" t="n"/>
      <c r="G233" s="10" t="n"/>
      <c r="H233" s="12" t="n"/>
      <c r="I233" s="11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3">
        <f>IF(A233="","",IF(AND(N(F233)&gt;=3000,G233&lt;&gt;"Yes"),3,0)+IF(J233="Yes",2,0)+IF(OR(D233="1 venue",D233="2-6 venues"),1,0)+IF(OR(B233="Specialty coffee",B233="Brunch / cafe",B233="Dessert / bakery"),1,0)+IF(AND(N(H233)&gt;=4.3,N(I233)&gt;=50),1,0)+IF(AND(OR(M233&lt;&gt;"",N233&lt;&gt;""),O233&lt;&gt;""),1,0))</f>
        <v/>
      </c>
      <c r="S233" s="13">
        <f>IF(R233="","",IF(R233&gt;=6,"A",IF(R233&gt;=4,"B","C")))</f>
        <v/>
      </c>
      <c r="T233" s="10" t="n"/>
      <c r="U233" s="14" t="n"/>
      <c r="V233" s="10" t="n"/>
      <c r="W233" s="10" t="n"/>
    </row>
    <row r="234">
      <c r="A234" s="10" t="n"/>
      <c r="B234" s="10" t="n"/>
      <c r="C234" s="10" t="n"/>
      <c r="D234" s="10" t="n"/>
      <c r="E234" s="10" t="n"/>
      <c r="F234" s="11" t="n"/>
      <c r="G234" s="10" t="n"/>
      <c r="H234" s="12" t="n"/>
      <c r="I234" s="11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3">
        <f>IF(A234="","",IF(AND(N(F234)&gt;=3000,G234&lt;&gt;"Yes"),3,0)+IF(J234="Yes",2,0)+IF(OR(D234="1 venue",D234="2-6 venues"),1,0)+IF(OR(B234="Specialty coffee",B234="Brunch / cafe",B234="Dessert / bakery"),1,0)+IF(AND(N(H234)&gt;=4.3,N(I234)&gt;=50),1,0)+IF(AND(OR(M234&lt;&gt;"",N234&lt;&gt;""),O234&lt;&gt;""),1,0))</f>
        <v/>
      </c>
      <c r="S234" s="13">
        <f>IF(R234="","",IF(R234&gt;=6,"A",IF(R234&gt;=4,"B","C")))</f>
        <v/>
      </c>
      <c r="T234" s="10" t="n"/>
      <c r="U234" s="14" t="n"/>
      <c r="V234" s="10" t="n"/>
      <c r="W234" s="10" t="n"/>
    </row>
    <row r="235">
      <c r="A235" s="10" t="n"/>
      <c r="B235" s="10" t="n"/>
      <c r="C235" s="10" t="n"/>
      <c r="D235" s="10" t="n"/>
      <c r="E235" s="10" t="n"/>
      <c r="F235" s="11" t="n"/>
      <c r="G235" s="10" t="n"/>
      <c r="H235" s="12" t="n"/>
      <c r="I235" s="11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3">
        <f>IF(A235="","",IF(AND(N(F235)&gt;=3000,G235&lt;&gt;"Yes"),3,0)+IF(J235="Yes",2,0)+IF(OR(D235="1 venue",D235="2-6 venues"),1,0)+IF(OR(B235="Specialty coffee",B235="Brunch / cafe",B235="Dessert / bakery"),1,0)+IF(AND(N(H235)&gt;=4.3,N(I235)&gt;=50),1,0)+IF(AND(OR(M235&lt;&gt;"",N235&lt;&gt;""),O235&lt;&gt;""),1,0))</f>
        <v/>
      </c>
      <c r="S235" s="13">
        <f>IF(R235="","",IF(R235&gt;=6,"A",IF(R235&gt;=4,"B","C")))</f>
        <v/>
      </c>
      <c r="T235" s="10" t="n"/>
      <c r="U235" s="14" t="n"/>
      <c r="V235" s="10" t="n"/>
      <c r="W235" s="10" t="n"/>
    </row>
    <row r="236">
      <c r="A236" s="10" t="n"/>
      <c r="B236" s="10" t="n"/>
      <c r="C236" s="10" t="n"/>
      <c r="D236" s="10" t="n"/>
      <c r="E236" s="10" t="n"/>
      <c r="F236" s="11" t="n"/>
      <c r="G236" s="10" t="n"/>
      <c r="H236" s="12" t="n"/>
      <c r="I236" s="11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3">
        <f>IF(A236="","",IF(AND(N(F236)&gt;=3000,G236&lt;&gt;"Yes"),3,0)+IF(J236="Yes",2,0)+IF(OR(D236="1 venue",D236="2-6 venues"),1,0)+IF(OR(B236="Specialty coffee",B236="Brunch / cafe",B236="Dessert / bakery"),1,0)+IF(AND(N(H236)&gt;=4.3,N(I236)&gt;=50),1,0)+IF(AND(OR(M236&lt;&gt;"",N236&lt;&gt;""),O236&lt;&gt;""),1,0))</f>
        <v/>
      </c>
      <c r="S236" s="13">
        <f>IF(R236="","",IF(R236&gt;=6,"A",IF(R236&gt;=4,"B","C")))</f>
        <v/>
      </c>
      <c r="T236" s="10" t="n"/>
      <c r="U236" s="14" t="n"/>
      <c r="V236" s="10" t="n"/>
      <c r="W236" s="10" t="n"/>
    </row>
    <row r="237">
      <c r="A237" s="10" t="n"/>
      <c r="B237" s="10" t="n"/>
      <c r="C237" s="10" t="n"/>
      <c r="D237" s="10" t="n"/>
      <c r="E237" s="10" t="n"/>
      <c r="F237" s="11" t="n"/>
      <c r="G237" s="10" t="n"/>
      <c r="H237" s="12" t="n"/>
      <c r="I237" s="11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3">
        <f>IF(A237="","",IF(AND(N(F237)&gt;=3000,G237&lt;&gt;"Yes"),3,0)+IF(J237="Yes",2,0)+IF(OR(D237="1 venue",D237="2-6 venues"),1,0)+IF(OR(B237="Specialty coffee",B237="Brunch / cafe",B237="Dessert / bakery"),1,0)+IF(AND(N(H237)&gt;=4.3,N(I237)&gt;=50),1,0)+IF(AND(OR(M237&lt;&gt;"",N237&lt;&gt;""),O237&lt;&gt;""),1,0))</f>
        <v/>
      </c>
      <c r="S237" s="13">
        <f>IF(R237="","",IF(R237&gt;=6,"A",IF(R237&gt;=4,"B","C")))</f>
        <v/>
      </c>
      <c r="T237" s="10" t="n"/>
      <c r="U237" s="14" t="n"/>
      <c r="V237" s="10" t="n"/>
      <c r="W237" s="10" t="n"/>
    </row>
    <row r="238">
      <c r="A238" s="10" t="n"/>
      <c r="B238" s="10" t="n"/>
      <c r="C238" s="10" t="n"/>
      <c r="D238" s="10" t="n"/>
      <c r="E238" s="10" t="n"/>
      <c r="F238" s="11" t="n"/>
      <c r="G238" s="10" t="n"/>
      <c r="H238" s="12" t="n"/>
      <c r="I238" s="11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3">
        <f>IF(A238="","",IF(AND(N(F238)&gt;=3000,G238&lt;&gt;"Yes"),3,0)+IF(J238="Yes",2,0)+IF(OR(D238="1 venue",D238="2-6 venues"),1,0)+IF(OR(B238="Specialty coffee",B238="Brunch / cafe",B238="Dessert / bakery"),1,0)+IF(AND(N(H238)&gt;=4.3,N(I238)&gt;=50),1,0)+IF(AND(OR(M238&lt;&gt;"",N238&lt;&gt;""),O238&lt;&gt;""),1,0))</f>
        <v/>
      </c>
      <c r="S238" s="13">
        <f>IF(R238="","",IF(R238&gt;=6,"A",IF(R238&gt;=4,"B","C")))</f>
        <v/>
      </c>
      <c r="T238" s="10" t="n"/>
      <c r="U238" s="14" t="n"/>
      <c r="V238" s="10" t="n"/>
      <c r="W238" s="10" t="n"/>
    </row>
    <row r="239">
      <c r="A239" s="10" t="n"/>
      <c r="B239" s="10" t="n"/>
      <c r="C239" s="10" t="n"/>
      <c r="D239" s="10" t="n"/>
      <c r="E239" s="10" t="n"/>
      <c r="F239" s="11" t="n"/>
      <c r="G239" s="10" t="n"/>
      <c r="H239" s="12" t="n"/>
      <c r="I239" s="11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3">
        <f>IF(A239="","",IF(AND(N(F239)&gt;=3000,G239&lt;&gt;"Yes"),3,0)+IF(J239="Yes",2,0)+IF(OR(D239="1 venue",D239="2-6 venues"),1,0)+IF(OR(B239="Specialty coffee",B239="Brunch / cafe",B239="Dessert / bakery"),1,0)+IF(AND(N(H239)&gt;=4.3,N(I239)&gt;=50),1,0)+IF(AND(OR(M239&lt;&gt;"",N239&lt;&gt;""),O239&lt;&gt;""),1,0))</f>
        <v/>
      </c>
      <c r="S239" s="13">
        <f>IF(R239="","",IF(R239&gt;=6,"A",IF(R239&gt;=4,"B","C")))</f>
        <v/>
      </c>
      <c r="T239" s="10" t="n"/>
      <c r="U239" s="14" t="n"/>
      <c r="V239" s="10" t="n"/>
      <c r="W239" s="10" t="n"/>
    </row>
    <row r="240">
      <c r="A240" s="10" t="n"/>
      <c r="B240" s="10" t="n"/>
      <c r="C240" s="10" t="n"/>
      <c r="D240" s="10" t="n"/>
      <c r="E240" s="10" t="n"/>
      <c r="F240" s="11" t="n"/>
      <c r="G240" s="10" t="n"/>
      <c r="H240" s="12" t="n"/>
      <c r="I240" s="11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3">
        <f>IF(A240="","",IF(AND(N(F240)&gt;=3000,G240&lt;&gt;"Yes"),3,0)+IF(J240="Yes",2,0)+IF(OR(D240="1 venue",D240="2-6 venues"),1,0)+IF(OR(B240="Specialty coffee",B240="Brunch / cafe",B240="Dessert / bakery"),1,0)+IF(AND(N(H240)&gt;=4.3,N(I240)&gt;=50),1,0)+IF(AND(OR(M240&lt;&gt;"",N240&lt;&gt;""),O240&lt;&gt;""),1,0))</f>
        <v/>
      </c>
      <c r="S240" s="13">
        <f>IF(R240="","",IF(R240&gt;=6,"A",IF(R240&gt;=4,"B","C")))</f>
        <v/>
      </c>
      <c r="T240" s="10" t="n"/>
      <c r="U240" s="14" t="n"/>
      <c r="V240" s="10" t="n"/>
      <c r="W240" s="10" t="n"/>
    </row>
    <row r="241">
      <c r="A241" s="10" t="n"/>
      <c r="B241" s="10" t="n"/>
      <c r="C241" s="10" t="n"/>
      <c r="D241" s="10" t="n"/>
      <c r="E241" s="10" t="n"/>
      <c r="F241" s="11" t="n"/>
      <c r="G241" s="10" t="n"/>
      <c r="H241" s="12" t="n"/>
      <c r="I241" s="11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3">
        <f>IF(A241="","",IF(AND(N(F241)&gt;=3000,G241&lt;&gt;"Yes"),3,0)+IF(J241="Yes",2,0)+IF(OR(D241="1 venue",D241="2-6 venues"),1,0)+IF(OR(B241="Specialty coffee",B241="Brunch / cafe",B241="Dessert / bakery"),1,0)+IF(AND(N(H241)&gt;=4.3,N(I241)&gt;=50),1,0)+IF(AND(OR(M241&lt;&gt;"",N241&lt;&gt;""),O241&lt;&gt;""),1,0))</f>
        <v/>
      </c>
      <c r="S241" s="13">
        <f>IF(R241="","",IF(R241&gt;=6,"A",IF(R241&gt;=4,"B","C")))</f>
        <v/>
      </c>
      <c r="T241" s="10" t="n"/>
      <c r="U241" s="14" t="n"/>
      <c r="V241" s="10" t="n"/>
      <c r="W241" s="10" t="n"/>
    </row>
    <row r="242">
      <c r="A242" s="10" t="n"/>
      <c r="B242" s="10" t="n"/>
      <c r="C242" s="10" t="n"/>
      <c r="D242" s="10" t="n"/>
      <c r="E242" s="10" t="n"/>
      <c r="F242" s="11" t="n"/>
      <c r="G242" s="10" t="n"/>
      <c r="H242" s="12" t="n"/>
      <c r="I242" s="11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3">
        <f>IF(A242="","",IF(AND(N(F242)&gt;=3000,G242&lt;&gt;"Yes"),3,0)+IF(J242="Yes",2,0)+IF(OR(D242="1 venue",D242="2-6 venues"),1,0)+IF(OR(B242="Specialty coffee",B242="Brunch / cafe",B242="Dessert / bakery"),1,0)+IF(AND(N(H242)&gt;=4.3,N(I242)&gt;=50),1,0)+IF(AND(OR(M242&lt;&gt;"",N242&lt;&gt;""),O242&lt;&gt;""),1,0))</f>
        <v/>
      </c>
      <c r="S242" s="13">
        <f>IF(R242="","",IF(R242&gt;=6,"A",IF(R242&gt;=4,"B","C")))</f>
        <v/>
      </c>
      <c r="T242" s="10" t="n"/>
      <c r="U242" s="14" t="n"/>
      <c r="V242" s="10" t="n"/>
      <c r="W242" s="10" t="n"/>
    </row>
    <row r="243">
      <c r="A243" s="10" t="n"/>
      <c r="B243" s="10" t="n"/>
      <c r="C243" s="10" t="n"/>
      <c r="D243" s="10" t="n"/>
      <c r="E243" s="10" t="n"/>
      <c r="F243" s="11" t="n"/>
      <c r="G243" s="10" t="n"/>
      <c r="H243" s="12" t="n"/>
      <c r="I243" s="11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3">
        <f>IF(A243="","",IF(AND(N(F243)&gt;=3000,G243&lt;&gt;"Yes"),3,0)+IF(J243="Yes",2,0)+IF(OR(D243="1 venue",D243="2-6 venues"),1,0)+IF(OR(B243="Specialty coffee",B243="Brunch / cafe",B243="Dessert / bakery"),1,0)+IF(AND(N(H243)&gt;=4.3,N(I243)&gt;=50),1,0)+IF(AND(OR(M243&lt;&gt;"",N243&lt;&gt;""),O243&lt;&gt;""),1,0))</f>
        <v/>
      </c>
      <c r="S243" s="13">
        <f>IF(R243="","",IF(R243&gt;=6,"A",IF(R243&gt;=4,"B","C")))</f>
        <v/>
      </c>
      <c r="T243" s="10" t="n"/>
      <c r="U243" s="14" t="n"/>
      <c r="V243" s="10" t="n"/>
      <c r="W243" s="10" t="n"/>
    </row>
    <row r="244">
      <c r="A244" s="10" t="n"/>
      <c r="B244" s="10" t="n"/>
      <c r="C244" s="10" t="n"/>
      <c r="D244" s="10" t="n"/>
      <c r="E244" s="10" t="n"/>
      <c r="F244" s="11" t="n"/>
      <c r="G244" s="10" t="n"/>
      <c r="H244" s="12" t="n"/>
      <c r="I244" s="11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3">
        <f>IF(A244="","",IF(AND(N(F244)&gt;=3000,G244&lt;&gt;"Yes"),3,0)+IF(J244="Yes",2,0)+IF(OR(D244="1 venue",D244="2-6 venues"),1,0)+IF(OR(B244="Specialty coffee",B244="Brunch / cafe",B244="Dessert / bakery"),1,0)+IF(AND(N(H244)&gt;=4.3,N(I244)&gt;=50),1,0)+IF(AND(OR(M244&lt;&gt;"",N244&lt;&gt;""),O244&lt;&gt;""),1,0))</f>
        <v/>
      </c>
      <c r="S244" s="13">
        <f>IF(R244="","",IF(R244&gt;=6,"A",IF(R244&gt;=4,"B","C")))</f>
        <v/>
      </c>
      <c r="T244" s="10" t="n"/>
      <c r="U244" s="14" t="n"/>
      <c r="V244" s="10" t="n"/>
      <c r="W244" s="10" t="n"/>
    </row>
    <row r="245">
      <c r="A245" s="10" t="n"/>
      <c r="B245" s="10" t="n"/>
      <c r="C245" s="10" t="n"/>
      <c r="D245" s="10" t="n"/>
      <c r="E245" s="10" t="n"/>
      <c r="F245" s="11" t="n"/>
      <c r="G245" s="10" t="n"/>
      <c r="H245" s="12" t="n"/>
      <c r="I245" s="11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3">
        <f>IF(A245="","",IF(AND(N(F245)&gt;=3000,G245&lt;&gt;"Yes"),3,0)+IF(J245="Yes",2,0)+IF(OR(D245="1 venue",D245="2-6 venues"),1,0)+IF(OR(B245="Specialty coffee",B245="Brunch / cafe",B245="Dessert / bakery"),1,0)+IF(AND(N(H245)&gt;=4.3,N(I245)&gt;=50),1,0)+IF(AND(OR(M245&lt;&gt;"",N245&lt;&gt;""),O245&lt;&gt;""),1,0))</f>
        <v/>
      </c>
      <c r="S245" s="13">
        <f>IF(R245="","",IF(R245&gt;=6,"A",IF(R245&gt;=4,"B","C")))</f>
        <v/>
      </c>
      <c r="T245" s="10" t="n"/>
      <c r="U245" s="14" t="n"/>
      <c r="V245" s="10" t="n"/>
      <c r="W245" s="10" t="n"/>
    </row>
    <row r="246">
      <c r="A246" s="10" t="n"/>
      <c r="B246" s="10" t="n"/>
      <c r="C246" s="10" t="n"/>
      <c r="D246" s="10" t="n"/>
      <c r="E246" s="10" t="n"/>
      <c r="F246" s="11" t="n"/>
      <c r="G246" s="10" t="n"/>
      <c r="H246" s="12" t="n"/>
      <c r="I246" s="11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3">
        <f>IF(A246="","",IF(AND(N(F246)&gt;=3000,G246&lt;&gt;"Yes"),3,0)+IF(J246="Yes",2,0)+IF(OR(D246="1 venue",D246="2-6 venues"),1,0)+IF(OR(B246="Specialty coffee",B246="Brunch / cafe",B246="Dessert / bakery"),1,0)+IF(AND(N(H246)&gt;=4.3,N(I246)&gt;=50),1,0)+IF(AND(OR(M246&lt;&gt;"",N246&lt;&gt;""),O246&lt;&gt;""),1,0))</f>
        <v/>
      </c>
      <c r="S246" s="13">
        <f>IF(R246="","",IF(R246&gt;=6,"A",IF(R246&gt;=4,"B","C")))</f>
        <v/>
      </c>
      <c r="T246" s="10" t="n"/>
      <c r="U246" s="14" t="n"/>
      <c r="V246" s="10" t="n"/>
      <c r="W246" s="10" t="n"/>
    </row>
    <row r="247">
      <c r="A247" s="10" t="n"/>
      <c r="B247" s="10" t="n"/>
      <c r="C247" s="10" t="n"/>
      <c r="D247" s="10" t="n"/>
      <c r="E247" s="10" t="n"/>
      <c r="F247" s="11" t="n"/>
      <c r="G247" s="10" t="n"/>
      <c r="H247" s="12" t="n"/>
      <c r="I247" s="11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3">
        <f>IF(A247="","",IF(AND(N(F247)&gt;=3000,G247&lt;&gt;"Yes"),3,0)+IF(J247="Yes",2,0)+IF(OR(D247="1 venue",D247="2-6 venues"),1,0)+IF(OR(B247="Specialty coffee",B247="Brunch / cafe",B247="Dessert / bakery"),1,0)+IF(AND(N(H247)&gt;=4.3,N(I247)&gt;=50),1,0)+IF(AND(OR(M247&lt;&gt;"",N247&lt;&gt;""),O247&lt;&gt;""),1,0))</f>
        <v/>
      </c>
      <c r="S247" s="13">
        <f>IF(R247="","",IF(R247&gt;=6,"A",IF(R247&gt;=4,"B","C")))</f>
        <v/>
      </c>
      <c r="T247" s="10" t="n"/>
      <c r="U247" s="14" t="n"/>
      <c r="V247" s="10" t="n"/>
      <c r="W247" s="10" t="n"/>
    </row>
    <row r="248">
      <c r="A248" s="10" t="n"/>
      <c r="B248" s="10" t="n"/>
      <c r="C248" s="10" t="n"/>
      <c r="D248" s="10" t="n"/>
      <c r="E248" s="10" t="n"/>
      <c r="F248" s="11" t="n"/>
      <c r="G248" s="10" t="n"/>
      <c r="H248" s="12" t="n"/>
      <c r="I248" s="11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3">
        <f>IF(A248="","",IF(AND(N(F248)&gt;=3000,G248&lt;&gt;"Yes"),3,0)+IF(J248="Yes",2,0)+IF(OR(D248="1 venue",D248="2-6 venues"),1,0)+IF(OR(B248="Specialty coffee",B248="Brunch / cafe",B248="Dessert / bakery"),1,0)+IF(AND(N(H248)&gt;=4.3,N(I248)&gt;=50),1,0)+IF(AND(OR(M248&lt;&gt;"",N248&lt;&gt;""),O248&lt;&gt;""),1,0))</f>
        <v/>
      </c>
      <c r="S248" s="13">
        <f>IF(R248="","",IF(R248&gt;=6,"A",IF(R248&gt;=4,"B","C")))</f>
        <v/>
      </c>
      <c r="T248" s="10" t="n"/>
      <c r="U248" s="14" t="n"/>
      <c r="V248" s="10" t="n"/>
      <c r="W248" s="10" t="n"/>
    </row>
    <row r="249">
      <c r="A249" s="10" t="n"/>
      <c r="B249" s="10" t="n"/>
      <c r="C249" s="10" t="n"/>
      <c r="D249" s="10" t="n"/>
      <c r="E249" s="10" t="n"/>
      <c r="F249" s="11" t="n"/>
      <c r="G249" s="10" t="n"/>
      <c r="H249" s="12" t="n"/>
      <c r="I249" s="11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3">
        <f>IF(A249="","",IF(AND(N(F249)&gt;=3000,G249&lt;&gt;"Yes"),3,0)+IF(J249="Yes",2,0)+IF(OR(D249="1 venue",D249="2-6 venues"),1,0)+IF(OR(B249="Specialty coffee",B249="Brunch / cafe",B249="Dessert / bakery"),1,0)+IF(AND(N(H249)&gt;=4.3,N(I249)&gt;=50),1,0)+IF(AND(OR(M249&lt;&gt;"",N249&lt;&gt;""),O249&lt;&gt;""),1,0))</f>
        <v/>
      </c>
      <c r="S249" s="13">
        <f>IF(R249="","",IF(R249&gt;=6,"A",IF(R249&gt;=4,"B","C")))</f>
        <v/>
      </c>
      <c r="T249" s="10" t="n"/>
      <c r="U249" s="14" t="n"/>
      <c r="V249" s="10" t="n"/>
      <c r="W249" s="10" t="n"/>
    </row>
    <row r="250">
      <c r="A250" s="10" t="n"/>
      <c r="B250" s="10" t="n"/>
      <c r="C250" s="10" t="n"/>
      <c r="D250" s="10" t="n"/>
      <c r="E250" s="10" t="n"/>
      <c r="F250" s="11" t="n"/>
      <c r="G250" s="10" t="n"/>
      <c r="H250" s="12" t="n"/>
      <c r="I250" s="11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3">
        <f>IF(A250="","",IF(AND(N(F250)&gt;=3000,G250&lt;&gt;"Yes"),3,0)+IF(J250="Yes",2,0)+IF(OR(D250="1 venue",D250="2-6 venues"),1,0)+IF(OR(B250="Specialty coffee",B250="Brunch / cafe",B250="Dessert / bakery"),1,0)+IF(AND(N(H250)&gt;=4.3,N(I250)&gt;=50),1,0)+IF(AND(OR(M250&lt;&gt;"",N250&lt;&gt;""),O250&lt;&gt;""),1,0))</f>
        <v/>
      </c>
      <c r="S250" s="13">
        <f>IF(R250="","",IF(R250&gt;=6,"A",IF(R250&gt;=4,"B","C")))</f>
        <v/>
      </c>
      <c r="T250" s="10" t="n"/>
      <c r="U250" s="14" t="n"/>
      <c r="V250" s="10" t="n"/>
      <c r="W250" s="10" t="n"/>
    </row>
    <row r="251">
      <c r="A251" s="10" t="n"/>
      <c r="B251" s="10" t="n"/>
      <c r="C251" s="10" t="n"/>
      <c r="D251" s="10" t="n"/>
      <c r="E251" s="10" t="n"/>
      <c r="F251" s="11" t="n"/>
      <c r="G251" s="10" t="n"/>
      <c r="H251" s="12" t="n"/>
      <c r="I251" s="11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3">
        <f>IF(A251="","",IF(AND(N(F251)&gt;=3000,G251&lt;&gt;"Yes"),3,0)+IF(J251="Yes",2,0)+IF(OR(D251="1 venue",D251="2-6 venues"),1,0)+IF(OR(B251="Specialty coffee",B251="Brunch / cafe",B251="Dessert / bakery"),1,0)+IF(AND(N(H251)&gt;=4.3,N(I251)&gt;=50),1,0)+IF(AND(OR(M251&lt;&gt;"",N251&lt;&gt;""),O251&lt;&gt;""),1,0))</f>
        <v/>
      </c>
      <c r="S251" s="13">
        <f>IF(R251="","",IF(R251&gt;=6,"A",IF(R251&gt;=4,"B","C")))</f>
        <v/>
      </c>
      <c r="T251" s="10" t="n"/>
      <c r="U251" s="14" t="n"/>
      <c r="V251" s="10" t="n"/>
      <c r="W251" s="10" t="n"/>
    </row>
    <row r="252">
      <c r="A252" s="10" t="n"/>
      <c r="B252" s="10" t="n"/>
      <c r="C252" s="10" t="n"/>
      <c r="D252" s="10" t="n"/>
      <c r="E252" s="10" t="n"/>
      <c r="F252" s="11" t="n"/>
      <c r="G252" s="10" t="n"/>
      <c r="H252" s="12" t="n"/>
      <c r="I252" s="11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3">
        <f>IF(A252="","",IF(AND(N(F252)&gt;=3000,G252&lt;&gt;"Yes"),3,0)+IF(J252="Yes",2,0)+IF(OR(D252="1 venue",D252="2-6 venues"),1,0)+IF(OR(B252="Specialty coffee",B252="Brunch / cafe",B252="Dessert / bakery"),1,0)+IF(AND(N(H252)&gt;=4.3,N(I252)&gt;=50),1,0)+IF(AND(OR(M252&lt;&gt;"",N252&lt;&gt;""),O252&lt;&gt;""),1,0))</f>
        <v/>
      </c>
      <c r="S252" s="13">
        <f>IF(R252="","",IF(R252&gt;=6,"A",IF(R252&gt;=4,"B","C")))</f>
        <v/>
      </c>
      <c r="T252" s="10" t="n"/>
      <c r="U252" s="14" t="n"/>
      <c r="V252" s="10" t="n"/>
      <c r="W252" s="10" t="n"/>
    </row>
    <row r="253">
      <c r="A253" s="10" t="n"/>
      <c r="B253" s="10" t="n"/>
      <c r="C253" s="10" t="n"/>
      <c r="D253" s="10" t="n"/>
      <c r="E253" s="10" t="n"/>
      <c r="F253" s="11" t="n"/>
      <c r="G253" s="10" t="n"/>
      <c r="H253" s="12" t="n"/>
      <c r="I253" s="11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3">
        <f>IF(A253="","",IF(AND(N(F253)&gt;=3000,G253&lt;&gt;"Yes"),3,0)+IF(J253="Yes",2,0)+IF(OR(D253="1 venue",D253="2-6 venues"),1,0)+IF(OR(B253="Specialty coffee",B253="Brunch / cafe",B253="Dessert / bakery"),1,0)+IF(AND(N(H253)&gt;=4.3,N(I253)&gt;=50),1,0)+IF(AND(OR(M253&lt;&gt;"",N253&lt;&gt;""),O253&lt;&gt;""),1,0))</f>
        <v/>
      </c>
      <c r="S253" s="13">
        <f>IF(R253="","",IF(R253&gt;=6,"A",IF(R253&gt;=4,"B","C")))</f>
        <v/>
      </c>
      <c r="T253" s="10" t="n"/>
      <c r="U253" s="14" t="n"/>
      <c r="V253" s="10" t="n"/>
      <c r="W253" s="10" t="n"/>
    </row>
    <row r="254">
      <c r="A254" s="10" t="n"/>
      <c r="B254" s="10" t="n"/>
      <c r="C254" s="10" t="n"/>
      <c r="D254" s="10" t="n"/>
      <c r="E254" s="10" t="n"/>
      <c r="F254" s="11" t="n"/>
      <c r="G254" s="10" t="n"/>
      <c r="H254" s="12" t="n"/>
      <c r="I254" s="11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3">
        <f>IF(A254="","",IF(AND(N(F254)&gt;=3000,G254&lt;&gt;"Yes"),3,0)+IF(J254="Yes",2,0)+IF(OR(D254="1 venue",D254="2-6 venues"),1,0)+IF(OR(B254="Specialty coffee",B254="Brunch / cafe",B254="Dessert / bakery"),1,0)+IF(AND(N(H254)&gt;=4.3,N(I254)&gt;=50),1,0)+IF(AND(OR(M254&lt;&gt;"",N254&lt;&gt;""),O254&lt;&gt;""),1,0))</f>
        <v/>
      </c>
      <c r="S254" s="13">
        <f>IF(R254="","",IF(R254&gt;=6,"A",IF(R254&gt;=4,"B","C")))</f>
        <v/>
      </c>
      <c r="T254" s="10" t="n"/>
      <c r="U254" s="14" t="n"/>
      <c r="V254" s="10" t="n"/>
      <c r="W254" s="10" t="n"/>
    </row>
    <row r="255">
      <c r="A255" s="10" t="n"/>
      <c r="B255" s="10" t="n"/>
      <c r="C255" s="10" t="n"/>
      <c r="D255" s="10" t="n"/>
      <c r="E255" s="10" t="n"/>
      <c r="F255" s="11" t="n"/>
      <c r="G255" s="10" t="n"/>
      <c r="H255" s="12" t="n"/>
      <c r="I255" s="11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3">
        <f>IF(A255="","",IF(AND(N(F255)&gt;=3000,G255&lt;&gt;"Yes"),3,0)+IF(J255="Yes",2,0)+IF(OR(D255="1 venue",D255="2-6 venues"),1,0)+IF(OR(B255="Specialty coffee",B255="Brunch / cafe",B255="Dessert / bakery"),1,0)+IF(AND(N(H255)&gt;=4.3,N(I255)&gt;=50),1,0)+IF(AND(OR(M255&lt;&gt;"",N255&lt;&gt;""),O255&lt;&gt;""),1,0))</f>
        <v/>
      </c>
      <c r="S255" s="13">
        <f>IF(R255="","",IF(R255&gt;=6,"A",IF(R255&gt;=4,"B","C")))</f>
        <v/>
      </c>
      <c r="T255" s="10" t="n"/>
      <c r="U255" s="14" t="n"/>
      <c r="V255" s="10" t="n"/>
      <c r="W255" s="10" t="n"/>
    </row>
    <row r="256">
      <c r="A256" s="10" t="n"/>
      <c r="B256" s="10" t="n"/>
      <c r="C256" s="10" t="n"/>
      <c r="D256" s="10" t="n"/>
      <c r="E256" s="10" t="n"/>
      <c r="F256" s="11" t="n"/>
      <c r="G256" s="10" t="n"/>
      <c r="H256" s="12" t="n"/>
      <c r="I256" s="11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3">
        <f>IF(A256="","",IF(AND(N(F256)&gt;=3000,G256&lt;&gt;"Yes"),3,0)+IF(J256="Yes",2,0)+IF(OR(D256="1 venue",D256="2-6 venues"),1,0)+IF(OR(B256="Specialty coffee",B256="Brunch / cafe",B256="Dessert / bakery"),1,0)+IF(AND(N(H256)&gt;=4.3,N(I256)&gt;=50),1,0)+IF(AND(OR(M256&lt;&gt;"",N256&lt;&gt;""),O256&lt;&gt;""),1,0))</f>
        <v/>
      </c>
      <c r="S256" s="13">
        <f>IF(R256="","",IF(R256&gt;=6,"A",IF(R256&gt;=4,"B","C")))</f>
        <v/>
      </c>
      <c r="T256" s="10" t="n"/>
      <c r="U256" s="14" t="n"/>
      <c r="V256" s="10" t="n"/>
      <c r="W256" s="10" t="n"/>
    </row>
    <row r="257">
      <c r="A257" s="10" t="n"/>
      <c r="B257" s="10" t="n"/>
      <c r="C257" s="10" t="n"/>
      <c r="D257" s="10" t="n"/>
      <c r="E257" s="10" t="n"/>
      <c r="F257" s="11" t="n"/>
      <c r="G257" s="10" t="n"/>
      <c r="H257" s="12" t="n"/>
      <c r="I257" s="11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3">
        <f>IF(A257="","",IF(AND(N(F257)&gt;=3000,G257&lt;&gt;"Yes"),3,0)+IF(J257="Yes",2,0)+IF(OR(D257="1 venue",D257="2-6 venues"),1,0)+IF(OR(B257="Specialty coffee",B257="Brunch / cafe",B257="Dessert / bakery"),1,0)+IF(AND(N(H257)&gt;=4.3,N(I257)&gt;=50),1,0)+IF(AND(OR(M257&lt;&gt;"",N257&lt;&gt;""),O257&lt;&gt;""),1,0))</f>
        <v/>
      </c>
      <c r="S257" s="13">
        <f>IF(R257="","",IF(R257&gt;=6,"A",IF(R257&gt;=4,"B","C")))</f>
        <v/>
      </c>
      <c r="T257" s="10" t="n"/>
      <c r="U257" s="14" t="n"/>
      <c r="V257" s="10" t="n"/>
      <c r="W257" s="10" t="n"/>
    </row>
    <row r="258">
      <c r="A258" s="10" t="n"/>
      <c r="B258" s="10" t="n"/>
      <c r="C258" s="10" t="n"/>
      <c r="D258" s="10" t="n"/>
      <c r="E258" s="10" t="n"/>
      <c r="F258" s="11" t="n"/>
      <c r="G258" s="10" t="n"/>
      <c r="H258" s="12" t="n"/>
      <c r="I258" s="11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3">
        <f>IF(A258="","",IF(AND(N(F258)&gt;=3000,G258&lt;&gt;"Yes"),3,0)+IF(J258="Yes",2,0)+IF(OR(D258="1 venue",D258="2-6 venues"),1,0)+IF(OR(B258="Specialty coffee",B258="Brunch / cafe",B258="Dessert / bakery"),1,0)+IF(AND(N(H258)&gt;=4.3,N(I258)&gt;=50),1,0)+IF(AND(OR(M258&lt;&gt;"",N258&lt;&gt;""),O258&lt;&gt;""),1,0))</f>
        <v/>
      </c>
      <c r="S258" s="13">
        <f>IF(R258="","",IF(R258&gt;=6,"A",IF(R258&gt;=4,"B","C")))</f>
        <v/>
      </c>
      <c r="T258" s="10" t="n"/>
      <c r="U258" s="14" t="n"/>
      <c r="V258" s="10" t="n"/>
      <c r="W258" s="10" t="n"/>
    </row>
    <row r="259">
      <c r="A259" s="10" t="n"/>
      <c r="B259" s="10" t="n"/>
      <c r="C259" s="10" t="n"/>
      <c r="D259" s="10" t="n"/>
      <c r="E259" s="10" t="n"/>
      <c r="F259" s="11" t="n"/>
      <c r="G259" s="10" t="n"/>
      <c r="H259" s="12" t="n"/>
      <c r="I259" s="11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3">
        <f>IF(A259="","",IF(AND(N(F259)&gt;=3000,G259&lt;&gt;"Yes"),3,0)+IF(J259="Yes",2,0)+IF(OR(D259="1 venue",D259="2-6 venues"),1,0)+IF(OR(B259="Specialty coffee",B259="Brunch / cafe",B259="Dessert / bakery"),1,0)+IF(AND(N(H259)&gt;=4.3,N(I259)&gt;=50),1,0)+IF(AND(OR(M259&lt;&gt;"",N259&lt;&gt;""),O259&lt;&gt;""),1,0))</f>
        <v/>
      </c>
      <c r="S259" s="13">
        <f>IF(R259="","",IF(R259&gt;=6,"A",IF(R259&gt;=4,"B","C")))</f>
        <v/>
      </c>
      <c r="T259" s="10" t="n"/>
      <c r="U259" s="14" t="n"/>
      <c r="V259" s="10" t="n"/>
      <c r="W259" s="10" t="n"/>
    </row>
    <row r="260">
      <c r="A260" s="10" t="n"/>
      <c r="B260" s="10" t="n"/>
      <c r="C260" s="10" t="n"/>
      <c r="D260" s="10" t="n"/>
      <c r="E260" s="10" t="n"/>
      <c r="F260" s="11" t="n"/>
      <c r="G260" s="10" t="n"/>
      <c r="H260" s="12" t="n"/>
      <c r="I260" s="11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3">
        <f>IF(A260="","",IF(AND(N(F260)&gt;=3000,G260&lt;&gt;"Yes"),3,0)+IF(J260="Yes",2,0)+IF(OR(D260="1 venue",D260="2-6 venues"),1,0)+IF(OR(B260="Specialty coffee",B260="Brunch / cafe",B260="Dessert / bakery"),1,0)+IF(AND(N(H260)&gt;=4.3,N(I260)&gt;=50),1,0)+IF(AND(OR(M260&lt;&gt;"",N260&lt;&gt;""),O260&lt;&gt;""),1,0))</f>
        <v/>
      </c>
      <c r="S260" s="13">
        <f>IF(R260="","",IF(R260&gt;=6,"A",IF(R260&gt;=4,"B","C")))</f>
        <v/>
      </c>
      <c r="T260" s="10" t="n"/>
      <c r="U260" s="14" t="n"/>
      <c r="V260" s="10" t="n"/>
      <c r="W260" s="10" t="n"/>
    </row>
    <row r="261">
      <c r="A261" s="10" t="n"/>
      <c r="B261" s="10" t="n"/>
      <c r="C261" s="10" t="n"/>
      <c r="D261" s="10" t="n"/>
      <c r="E261" s="10" t="n"/>
      <c r="F261" s="11" t="n"/>
      <c r="G261" s="10" t="n"/>
      <c r="H261" s="12" t="n"/>
      <c r="I261" s="11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3">
        <f>IF(A261="","",IF(AND(N(F261)&gt;=3000,G261&lt;&gt;"Yes"),3,0)+IF(J261="Yes",2,0)+IF(OR(D261="1 venue",D261="2-6 venues"),1,0)+IF(OR(B261="Specialty coffee",B261="Brunch / cafe",B261="Dessert / bakery"),1,0)+IF(AND(N(H261)&gt;=4.3,N(I261)&gt;=50),1,0)+IF(AND(OR(M261&lt;&gt;"",N261&lt;&gt;""),O261&lt;&gt;""),1,0))</f>
        <v/>
      </c>
      <c r="S261" s="13">
        <f>IF(R261="","",IF(R261&gt;=6,"A",IF(R261&gt;=4,"B","C")))</f>
        <v/>
      </c>
      <c r="T261" s="10" t="n"/>
      <c r="U261" s="14" t="n"/>
      <c r="V261" s="10" t="n"/>
      <c r="W261" s="10" t="n"/>
    </row>
    <row r="262">
      <c r="A262" s="10" t="n"/>
      <c r="B262" s="10" t="n"/>
      <c r="C262" s="10" t="n"/>
      <c r="D262" s="10" t="n"/>
      <c r="E262" s="10" t="n"/>
      <c r="F262" s="11" t="n"/>
      <c r="G262" s="10" t="n"/>
      <c r="H262" s="12" t="n"/>
      <c r="I262" s="11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3">
        <f>IF(A262="","",IF(AND(N(F262)&gt;=3000,G262&lt;&gt;"Yes"),3,0)+IF(J262="Yes",2,0)+IF(OR(D262="1 venue",D262="2-6 venues"),1,0)+IF(OR(B262="Specialty coffee",B262="Brunch / cafe",B262="Dessert / bakery"),1,0)+IF(AND(N(H262)&gt;=4.3,N(I262)&gt;=50),1,0)+IF(AND(OR(M262&lt;&gt;"",N262&lt;&gt;""),O262&lt;&gt;""),1,0))</f>
        <v/>
      </c>
      <c r="S262" s="13">
        <f>IF(R262="","",IF(R262&gt;=6,"A",IF(R262&gt;=4,"B","C")))</f>
        <v/>
      </c>
      <c r="T262" s="10" t="n"/>
      <c r="U262" s="14" t="n"/>
      <c r="V262" s="10" t="n"/>
      <c r="W262" s="10" t="n"/>
    </row>
    <row r="263">
      <c r="A263" s="10" t="n"/>
      <c r="B263" s="10" t="n"/>
      <c r="C263" s="10" t="n"/>
      <c r="D263" s="10" t="n"/>
      <c r="E263" s="10" t="n"/>
      <c r="F263" s="11" t="n"/>
      <c r="G263" s="10" t="n"/>
      <c r="H263" s="12" t="n"/>
      <c r="I263" s="11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3">
        <f>IF(A263="","",IF(AND(N(F263)&gt;=3000,G263&lt;&gt;"Yes"),3,0)+IF(J263="Yes",2,0)+IF(OR(D263="1 venue",D263="2-6 venues"),1,0)+IF(OR(B263="Specialty coffee",B263="Brunch / cafe",B263="Dessert / bakery"),1,0)+IF(AND(N(H263)&gt;=4.3,N(I263)&gt;=50),1,0)+IF(AND(OR(M263&lt;&gt;"",N263&lt;&gt;""),O263&lt;&gt;""),1,0))</f>
        <v/>
      </c>
      <c r="S263" s="13">
        <f>IF(R263="","",IF(R263&gt;=6,"A",IF(R263&gt;=4,"B","C")))</f>
        <v/>
      </c>
      <c r="T263" s="10" t="n"/>
      <c r="U263" s="14" t="n"/>
      <c r="V263" s="10" t="n"/>
      <c r="W263" s="10" t="n"/>
    </row>
    <row r="264">
      <c r="A264" s="10" t="n"/>
      <c r="B264" s="10" t="n"/>
      <c r="C264" s="10" t="n"/>
      <c r="D264" s="10" t="n"/>
      <c r="E264" s="10" t="n"/>
      <c r="F264" s="11" t="n"/>
      <c r="G264" s="10" t="n"/>
      <c r="H264" s="12" t="n"/>
      <c r="I264" s="11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3">
        <f>IF(A264="","",IF(AND(N(F264)&gt;=3000,G264&lt;&gt;"Yes"),3,0)+IF(J264="Yes",2,0)+IF(OR(D264="1 venue",D264="2-6 venues"),1,0)+IF(OR(B264="Specialty coffee",B264="Brunch / cafe",B264="Dessert / bakery"),1,0)+IF(AND(N(H264)&gt;=4.3,N(I264)&gt;=50),1,0)+IF(AND(OR(M264&lt;&gt;"",N264&lt;&gt;""),O264&lt;&gt;""),1,0))</f>
        <v/>
      </c>
      <c r="S264" s="13">
        <f>IF(R264="","",IF(R264&gt;=6,"A",IF(R264&gt;=4,"B","C")))</f>
        <v/>
      </c>
      <c r="T264" s="10" t="n"/>
      <c r="U264" s="14" t="n"/>
      <c r="V264" s="10" t="n"/>
      <c r="W264" s="10" t="n"/>
    </row>
    <row r="265">
      <c r="A265" s="10" t="n"/>
      <c r="B265" s="10" t="n"/>
      <c r="C265" s="10" t="n"/>
      <c r="D265" s="10" t="n"/>
      <c r="E265" s="10" t="n"/>
      <c r="F265" s="11" t="n"/>
      <c r="G265" s="10" t="n"/>
      <c r="H265" s="12" t="n"/>
      <c r="I265" s="11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3">
        <f>IF(A265="","",IF(AND(N(F265)&gt;=3000,G265&lt;&gt;"Yes"),3,0)+IF(J265="Yes",2,0)+IF(OR(D265="1 venue",D265="2-6 venues"),1,0)+IF(OR(B265="Specialty coffee",B265="Brunch / cafe",B265="Dessert / bakery"),1,0)+IF(AND(N(H265)&gt;=4.3,N(I265)&gt;=50),1,0)+IF(AND(OR(M265&lt;&gt;"",N265&lt;&gt;""),O265&lt;&gt;""),1,0))</f>
        <v/>
      </c>
      <c r="S265" s="13">
        <f>IF(R265="","",IF(R265&gt;=6,"A",IF(R265&gt;=4,"B","C")))</f>
        <v/>
      </c>
      <c r="T265" s="10" t="n"/>
      <c r="U265" s="14" t="n"/>
      <c r="V265" s="10" t="n"/>
      <c r="W265" s="10" t="n"/>
    </row>
    <row r="266">
      <c r="A266" s="10" t="n"/>
      <c r="B266" s="10" t="n"/>
      <c r="C266" s="10" t="n"/>
      <c r="D266" s="10" t="n"/>
      <c r="E266" s="10" t="n"/>
      <c r="F266" s="11" t="n"/>
      <c r="G266" s="10" t="n"/>
      <c r="H266" s="12" t="n"/>
      <c r="I266" s="11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3">
        <f>IF(A266="","",IF(AND(N(F266)&gt;=3000,G266&lt;&gt;"Yes"),3,0)+IF(J266="Yes",2,0)+IF(OR(D266="1 venue",D266="2-6 venues"),1,0)+IF(OR(B266="Specialty coffee",B266="Brunch / cafe",B266="Dessert / bakery"),1,0)+IF(AND(N(H266)&gt;=4.3,N(I266)&gt;=50),1,0)+IF(AND(OR(M266&lt;&gt;"",N266&lt;&gt;""),O266&lt;&gt;""),1,0))</f>
        <v/>
      </c>
      <c r="S266" s="13">
        <f>IF(R266="","",IF(R266&gt;=6,"A",IF(R266&gt;=4,"B","C")))</f>
        <v/>
      </c>
      <c r="T266" s="10" t="n"/>
      <c r="U266" s="14" t="n"/>
      <c r="V266" s="10" t="n"/>
      <c r="W266" s="10" t="n"/>
    </row>
    <row r="267">
      <c r="A267" s="10" t="n"/>
      <c r="B267" s="10" t="n"/>
      <c r="C267" s="10" t="n"/>
      <c r="D267" s="10" t="n"/>
      <c r="E267" s="10" t="n"/>
      <c r="F267" s="11" t="n"/>
      <c r="G267" s="10" t="n"/>
      <c r="H267" s="12" t="n"/>
      <c r="I267" s="11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3">
        <f>IF(A267="","",IF(AND(N(F267)&gt;=3000,G267&lt;&gt;"Yes"),3,0)+IF(J267="Yes",2,0)+IF(OR(D267="1 venue",D267="2-6 venues"),1,0)+IF(OR(B267="Specialty coffee",B267="Brunch / cafe",B267="Dessert / bakery"),1,0)+IF(AND(N(H267)&gt;=4.3,N(I267)&gt;=50),1,0)+IF(AND(OR(M267&lt;&gt;"",N267&lt;&gt;""),O267&lt;&gt;""),1,0))</f>
        <v/>
      </c>
      <c r="S267" s="13">
        <f>IF(R267="","",IF(R267&gt;=6,"A",IF(R267&gt;=4,"B","C")))</f>
        <v/>
      </c>
      <c r="T267" s="10" t="n"/>
      <c r="U267" s="14" t="n"/>
      <c r="V267" s="10" t="n"/>
      <c r="W267" s="10" t="n"/>
    </row>
    <row r="268">
      <c r="A268" s="10" t="n"/>
      <c r="B268" s="10" t="n"/>
      <c r="C268" s="10" t="n"/>
      <c r="D268" s="10" t="n"/>
      <c r="E268" s="10" t="n"/>
      <c r="F268" s="11" t="n"/>
      <c r="G268" s="10" t="n"/>
      <c r="H268" s="12" t="n"/>
      <c r="I268" s="11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3">
        <f>IF(A268="","",IF(AND(N(F268)&gt;=3000,G268&lt;&gt;"Yes"),3,0)+IF(J268="Yes",2,0)+IF(OR(D268="1 venue",D268="2-6 venues"),1,0)+IF(OR(B268="Specialty coffee",B268="Brunch / cafe",B268="Dessert / bakery"),1,0)+IF(AND(N(H268)&gt;=4.3,N(I268)&gt;=50),1,0)+IF(AND(OR(M268&lt;&gt;"",N268&lt;&gt;""),O268&lt;&gt;""),1,0))</f>
        <v/>
      </c>
      <c r="S268" s="13">
        <f>IF(R268="","",IF(R268&gt;=6,"A",IF(R268&gt;=4,"B","C")))</f>
        <v/>
      </c>
      <c r="T268" s="10" t="n"/>
      <c r="U268" s="14" t="n"/>
      <c r="V268" s="10" t="n"/>
      <c r="W268" s="10" t="n"/>
    </row>
    <row r="269">
      <c r="A269" s="10" t="n"/>
      <c r="B269" s="10" t="n"/>
      <c r="C269" s="10" t="n"/>
      <c r="D269" s="10" t="n"/>
      <c r="E269" s="10" t="n"/>
      <c r="F269" s="11" t="n"/>
      <c r="G269" s="10" t="n"/>
      <c r="H269" s="12" t="n"/>
      <c r="I269" s="11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3">
        <f>IF(A269="","",IF(AND(N(F269)&gt;=3000,G269&lt;&gt;"Yes"),3,0)+IF(J269="Yes",2,0)+IF(OR(D269="1 venue",D269="2-6 venues"),1,0)+IF(OR(B269="Specialty coffee",B269="Brunch / cafe",B269="Dessert / bakery"),1,0)+IF(AND(N(H269)&gt;=4.3,N(I269)&gt;=50),1,0)+IF(AND(OR(M269&lt;&gt;"",N269&lt;&gt;""),O269&lt;&gt;""),1,0))</f>
        <v/>
      </c>
      <c r="S269" s="13">
        <f>IF(R269="","",IF(R269&gt;=6,"A",IF(R269&gt;=4,"B","C")))</f>
        <v/>
      </c>
      <c r="T269" s="10" t="n"/>
      <c r="U269" s="14" t="n"/>
      <c r="V269" s="10" t="n"/>
      <c r="W269" s="10" t="n"/>
    </row>
    <row r="270">
      <c r="A270" s="10" t="n"/>
      <c r="B270" s="10" t="n"/>
      <c r="C270" s="10" t="n"/>
      <c r="D270" s="10" t="n"/>
      <c r="E270" s="10" t="n"/>
      <c r="F270" s="11" t="n"/>
      <c r="G270" s="10" t="n"/>
      <c r="H270" s="12" t="n"/>
      <c r="I270" s="11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3">
        <f>IF(A270="","",IF(AND(N(F270)&gt;=3000,G270&lt;&gt;"Yes"),3,0)+IF(J270="Yes",2,0)+IF(OR(D270="1 venue",D270="2-6 venues"),1,0)+IF(OR(B270="Specialty coffee",B270="Brunch / cafe",B270="Dessert / bakery"),1,0)+IF(AND(N(H270)&gt;=4.3,N(I270)&gt;=50),1,0)+IF(AND(OR(M270&lt;&gt;"",N270&lt;&gt;""),O270&lt;&gt;""),1,0))</f>
        <v/>
      </c>
      <c r="S270" s="13">
        <f>IF(R270="","",IF(R270&gt;=6,"A",IF(R270&gt;=4,"B","C")))</f>
        <v/>
      </c>
      <c r="T270" s="10" t="n"/>
      <c r="U270" s="14" t="n"/>
      <c r="V270" s="10" t="n"/>
      <c r="W270" s="10" t="n"/>
    </row>
    <row r="271">
      <c r="A271" s="10" t="n"/>
      <c r="B271" s="10" t="n"/>
      <c r="C271" s="10" t="n"/>
      <c r="D271" s="10" t="n"/>
      <c r="E271" s="10" t="n"/>
      <c r="F271" s="11" t="n"/>
      <c r="G271" s="10" t="n"/>
      <c r="H271" s="12" t="n"/>
      <c r="I271" s="11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3">
        <f>IF(A271="","",IF(AND(N(F271)&gt;=3000,G271&lt;&gt;"Yes"),3,0)+IF(J271="Yes",2,0)+IF(OR(D271="1 venue",D271="2-6 venues"),1,0)+IF(OR(B271="Specialty coffee",B271="Brunch / cafe",B271="Dessert / bakery"),1,0)+IF(AND(N(H271)&gt;=4.3,N(I271)&gt;=50),1,0)+IF(AND(OR(M271&lt;&gt;"",N271&lt;&gt;""),O271&lt;&gt;""),1,0))</f>
        <v/>
      </c>
      <c r="S271" s="13">
        <f>IF(R271="","",IF(R271&gt;=6,"A",IF(R271&gt;=4,"B","C")))</f>
        <v/>
      </c>
      <c r="T271" s="10" t="n"/>
      <c r="U271" s="14" t="n"/>
      <c r="V271" s="10" t="n"/>
      <c r="W271" s="10" t="n"/>
    </row>
    <row r="272">
      <c r="A272" s="10" t="n"/>
      <c r="B272" s="10" t="n"/>
      <c r="C272" s="10" t="n"/>
      <c r="D272" s="10" t="n"/>
      <c r="E272" s="10" t="n"/>
      <c r="F272" s="11" t="n"/>
      <c r="G272" s="10" t="n"/>
      <c r="H272" s="12" t="n"/>
      <c r="I272" s="11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3">
        <f>IF(A272="","",IF(AND(N(F272)&gt;=3000,G272&lt;&gt;"Yes"),3,0)+IF(J272="Yes",2,0)+IF(OR(D272="1 venue",D272="2-6 venues"),1,0)+IF(OR(B272="Specialty coffee",B272="Brunch / cafe",B272="Dessert / bakery"),1,0)+IF(AND(N(H272)&gt;=4.3,N(I272)&gt;=50),1,0)+IF(AND(OR(M272&lt;&gt;"",N272&lt;&gt;""),O272&lt;&gt;""),1,0))</f>
        <v/>
      </c>
      <c r="S272" s="13">
        <f>IF(R272="","",IF(R272&gt;=6,"A",IF(R272&gt;=4,"B","C")))</f>
        <v/>
      </c>
      <c r="T272" s="10" t="n"/>
      <c r="U272" s="14" t="n"/>
      <c r="V272" s="10" t="n"/>
      <c r="W272" s="10" t="n"/>
    </row>
    <row r="273">
      <c r="A273" s="10" t="n"/>
      <c r="B273" s="10" t="n"/>
      <c r="C273" s="10" t="n"/>
      <c r="D273" s="10" t="n"/>
      <c r="E273" s="10" t="n"/>
      <c r="F273" s="11" t="n"/>
      <c r="G273" s="10" t="n"/>
      <c r="H273" s="12" t="n"/>
      <c r="I273" s="11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3">
        <f>IF(A273="","",IF(AND(N(F273)&gt;=3000,G273&lt;&gt;"Yes"),3,0)+IF(J273="Yes",2,0)+IF(OR(D273="1 venue",D273="2-6 venues"),1,0)+IF(OR(B273="Specialty coffee",B273="Brunch / cafe",B273="Dessert / bakery"),1,0)+IF(AND(N(H273)&gt;=4.3,N(I273)&gt;=50),1,0)+IF(AND(OR(M273&lt;&gt;"",N273&lt;&gt;""),O273&lt;&gt;""),1,0))</f>
        <v/>
      </c>
      <c r="S273" s="13">
        <f>IF(R273="","",IF(R273&gt;=6,"A",IF(R273&gt;=4,"B","C")))</f>
        <v/>
      </c>
      <c r="T273" s="10" t="n"/>
      <c r="U273" s="14" t="n"/>
      <c r="V273" s="10" t="n"/>
      <c r="W273" s="10" t="n"/>
    </row>
    <row r="274">
      <c r="A274" s="10" t="n"/>
      <c r="B274" s="10" t="n"/>
      <c r="C274" s="10" t="n"/>
      <c r="D274" s="10" t="n"/>
      <c r="E274" s="10" t="n"/>
      <c r="F274" s="11" t="n"/>
      <c r="G274" s="10" t="n"/>
      <c r="H274" s="12" t="n"/>
      <c r="I274" s="11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3">
        <f>IF(A274="","",IF(AND(N(F274)&gt;=3000,G274&lt;&gt;"Yes"),3,0)+IF(J274="Yes",2,0)+IF(OR(D274="1 venue",D274="2-6 venues"),1,0)+IF(OR(B274="Specialty coffee",B274="Brunch / cafe",B274="Dessert / bakery"),1,0)+IF(AND(N(H274)&gt;=4.3,N(I274)&gt;=50),1,0)+IF(AND(OR(M274&lt;&gt;"",N274&lt;&gt;""),O274&lt;&gt;""),1,0))</f>
        <v/>
      </c>
      <c r="S274" s="13">
        <f>IF(R274="","",IF(R274&gt;=6,"A",IF(R274&gt;=4,"B","C")))</f>
        <v/>
      </c>
      <c r="T274" s="10" t="n"/>
      <c r="U274" s="14" t="n"/>
      <c r="V274" s="10" t="n"/>
      <c r="W274" s="10" t="n"/>
    </row>
    <row r="275">
      <c r="A275" s="10" t="n"/>
      <c r="B275" s="10" t="n"/>
      <c r="C275" s="10" t="n"/>
      <c r="D275" s="10" t="n"/>
      <c r="E275" s="10" t="n"/>
      <c r="F275" s="11" t="n"/>
      <c r="G275" s="10" t="n"/>
      <c r="H275" s="12" t="n"/>
      <c r="I275" s="11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3">
        <f>IF(A275="","",IF(AND(N(F275)&gt;=3000,G275&lt;&gt;"Yes"),3,0)+IF(J275="Yes",2,0)+IF(OR(D275="1 venue",D275="2-6 venues"),1,0)+IF(OR(B275="Specialty coffee",B275="Brunch / cafe",B275="Dessert / bakery"),1,0)+IF(AND(N(H275)&gt;=4.3,N(I275)&gt;=50),1,0)+IF(AND(OR(M275&lt;&gt;"",N275&lt;&gt;""),O275&lt;&gt;""),1,0))</f>
        <v/>
      </c>
      <c r="S275" s="13">
        <f>IF(R275="","",IF(R275&gt;=6,"A",IF(R275&gt;=4,"B","C")))</f>
        <v/>
      </c>
      <c r="T275" s="10" t="n"/>
      <c r="U275" s="14" t="n"/>
      <c r="V275" s="10" t="n"/>
      <c r="W275" s="10" t="n"/>
    </row>
    <row r="276">
      <c r="A276" s="10" t="n"/>
      <c r="B276" s="10" t="n"/>
      <c r="C276" s="10" t="n"/>
      <c r="D276" s="10" t="n"/>
      <c r="E276" s="10" t="n"/>
      <c r="F276" s="11" t="n"/>
      <c r="G276" s="10" t="n"/>
      <c r="H276" s="12" t="n"/>
      <c r="I276" s="11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3">
        <f>IF(A276="","",IF(AND(N(F276)&gt;=3000,G276&lt;&gt;"Yes"),3,0)+IF(J276="Yes",2,0)+IF(OR(D276="1 venue",D276="2-6 venues"),1,0)+IF(OR(B276="Specialty coffee",B276="Brunch / cafe",B276="Dessert / bakery"),1,0)+IF(AND(N(H276)&gt;=4.3,N(I276)&gt;=50),1,0)+IF(AND(OR(M276&lt;&gt;"",N276&lt;&gt;""),O276&lt;&gt;""),1,0))</f>
        <v/>
      </c>
      <c r="S276" s="13">
        <f>IF(R276="","",IF(R276&gt;=6,"A",IF(R276&gt;=4,"B","C")))</f>
        <v/>
      </c>
      <c r="T276" s="10" t="n"/>
      <c r="U276" s="14" t="n"/>
      <c r="V276" s="10" t="n"/>
      <c r="W276" s="10" t="n"/>
    </row>
    <row r="277">
      <c r="A277" s="10" t="n"/>
      <c r="B277" s="10" t="n"/>
      <c r="C277" s="10" t="n"/>
      <c r="D277" s="10" t="n"/>
      <c r="E277" s="10" t="n"/>
      <c r="F277" s="11" t="n"/>
      <c r="G277" s="10" t="n"/>
      <c r="H277" s="12" t="n"/>
      <c r="I277" s="11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3">
        <f>IF(A277="","",IF(AND(N(F277)&gt;=3000,G277&lt;&gt;"Yes"),3,0)+IF(J277="Yes",2,0)+IF(OR(D277="1 venue",D277="2-6 venues"),1,0)+IF(OR(B277="Specialty coffee",B277="Brunch / cafe",B277="Dessert / bakery"),1,0)+IF(AND(N(H277)&gt;=4.3,N(I277)&gt;=50),1,0)+IF(AND(OR(M277&lt;&gt;"",N277&lt;&gt;""),O277&lt;&gt;""),1,0))</f>
        <v/>
      </c>
      <c r="S277" s="13">
        <f>IF(R277="","",IF(R277&gt;=6,"A",IF(R277&gt;=4,"B","C")))</f>
        <v/>
      </c>
      <c r="T277" s="10" t="n"/>
      <c r="U277" s="14" t="n"/>
      <c r="V277" s="10" t="n"/>
      <c r="W277" s="10" t="n"/>
    </row>
    <row r="278">
      <c r="A278" s="10" t="n"/>
      <c r="B278" s="10" t="n"/>
      <c r="C278" s="10" t="n"/>
      <c r="D278" s="10" t="n"/>
      <c r="E278" s="10" t="n"/>
      <c r="F278" s="11" t="n"/>
      <c r="G278" s="10" t="n"/>
      <c r="H278" s="12" t="n"/>
      <c r="I278" s="11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3">
        <f>IF(A278="","",IF(AND(N(F278)&gt;=3000,G278&lt;&gt;"Yes"),3,0)+IF(J278="Yes",2,0)+IF(OR(D278="1 venue",D278="2-6 venues"),1,0)+IF(OR(B278="Specialty coffee",B278="Brunch / cafe",B278="Dessert / bakery"),1,0)+IF(AND(N(H278)&gt;=4.3,N(I278)&gt;=50),1,0)+IF(AND(OR(M278&lt;&gt;"",N278&lt;&gt;""),O278&lt;&gt;""),1,0))</f>
        <v/>
      </c>
      <c r="S278" s="13">
        <f>IF(R278="","",IF(R278&gt;=6,"A",IF(R278&gt;=4,"B","C")))</f>
        <v/>
      </c>
      <c r="T278" s="10" t="n"/>
      <c r="U278" s="14" t="n"/>
      <c r="V278" s="10" t="n"/>
      <c r="W278" s="10" t="n"/>
    </row>
    <row r="279">
      <c r="A279" s="10" t="n"/>
      <c r="B279" s="10" t="n"/>
      <c r="C279" s="10" t="n"/>
      <c r="D279" s="10" t="n"/>
      <c r="E279" s="10" t="n"/>
      <c r="F279" s="11" t="n"/>
      <c r="G279" s="10" t="n"/>
      <c r="H279" s="12" t="n"/>
      <c r="I279" s="11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3">
        <f>IF(A279="","",IF(AND(N(F279)&gt;=3000,G279&lt;&gt;"Yes"),3,0)+IF(J279="Yes",2,0)+IF(OR(D279="1 venue",D279="2-6 venues"),1,0)+IF(OR(B279="Specialty coffee",B279="Brunch / cafe",B279="Dessert / bakery"),1,0)+IF(AND(N(H279)&gt;=4.3,N(I279)&gt;=50),1,0)+IF(AND(OR(M279&lt;&gt;"",N279&lt;&gt;""),O279&lt;&gt;""),1,0))</f>
        <v/>
      </c>
      <c r="S279" s="13">
        <f>IF(R279="","",IF(R279&gt;=6,"A",IF(R279&gt;=4,"B","C")))</f>
        <v/>
      </c>
      <c r="T279" s="10" t="n"/>
      <c r="U279" s="14" t="n"/>
      <c r="V279" s="10" t="n"/>
      <c r="W279" s="10" t="n"/>
    </row>
    <row r="280">
      <c r="A280" s="10" t="n"/>
      <c r="B280" s="10" t="n"/>
      <c r="C280" s="10" t="n"/>
      <c r="D280" s="10" t="n"/>
      <c r="E280" s="10" t="n"/>
      <c r="F280" s="11" t="n"/>
      <c r="G280" s="10" t="n"/>
      <c r="H280" s="12" t="n"/>
      <c r="I280" s="11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3">
        <f>IF(A280="","",IF(AND(N(F280)&gt;=3000,G280&lt;&gt;"Yes"),3,0)+IF(J280="Yes",2,0)+IF(OR(D280="1 venue",D280="2-6 venues"),1,0)+IF(OR(B280="Specialty coffee",B280="Brunch / cafe",B280="Dessert / bakery"),1,0)+IF(AND(N(H280)&gt;=4.3,N(I280)&gt;=50),1,0)+IF(AND(OR(M280&lt;&gt;"",N280&lt;&gt;""),O280&lt;&gt;""),1,0))</f>
        <v/>
      </c>
      <c r="S280" s="13">
        <f>IF(R280="","",IF(R280&gt;=6,"A",IF(R280&gt;=4,"B","C")))</f>
        <v/>
      </c>
      <c r="T280" s="10" t="n"/>
      <c r="U280" s="14" t="n"/>
      <c r="V280" s="10" t="n"/>
      <c r="W280" s="10" t="n"/>
    </row>
    <row r="281">
      <c r="A281" s="10" t="n"/>
      <c r="B281" s="10" t="n"/>
      <c r="C281" s="10" t="n"/>
      <c r="D281" s="10" t="n"/>
      <c r="E281" s="10" t="n"/>
      <c r="F281" s="11" t="n"/>
      <c r="G281" s="10" t="n"/>
      <c r="H281" s="12" t="n"/>
      <c r="I281" s="11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3">
        <f>IF(A281="","",IF(AND(N(F281)&gt;=3000,G281&lt;&gt;"Yes"),3,0)+IF(J281="Yes",2,0)+IF(OR(D281="1 venue",D281="2-6 venues"),1,0)+IF(OR(B281="Specialty coffee",B281="Brunch / cafe",B281="Dessert / bakery"),1,0)+IF(AND(N(H281)&gt;=4.3,N(I281)&gt;=50),1,0)+IF(AND(OR(M281&lt;&gt;"",N281&lt;&gt;""),O281&lt;&gt;""),1,0))</f>
        <v/>
      </c>
      <c r="S281" s="13">
        <f>IF(R281="","",IF(R281&gt;=6,"A",IF(R281&gt;=4,"B","C")))</f>
        <v/>
      </c>
      <c r="T281" s="10" t="n"/>
      <c r="U281" s="14" t="n"/>
      <c r="V281" s="10" t="n"/>
      <c r="W281" s="10" t="n"/>
    </row>
    <row r="282">
      <c r="A282" s="10" t="n"/>
      <c r="B282" s="10" t="n"/>
      <c r="C282" s="10" t="n"/>
      <c r="D282" s="10" t="n"/>
      <c r="E282" s="10" t="n"/>
      <c r="F282" s="11" t="n"/>
      <c r="G282" s="10" t="n"/>
      <c r="H282" s="12" t="n"/>
      <c r="I282" s="11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3">
        <f>IF(A282="","",IF(AND(N(F282)&gt;=3000,G282&lt;&gt;"Yes"),3,0)+IF(J282="Yes",2,0)+IF(OR(D282="1 venue",D282="2-6 venues"),1,0)+IF(OR(B282="Specialty coffee",B282="Brunch / cafe",B282="Dessert / bakery"),1,0)+IF(AND(N(H282)&gt;=4.3,N(I282)&gt;=50),1,0)+IF(AND(OR(M282&lt;&gt;"",N282&lt;&gt;""),O282&lt;&gt;""),1,0))</f>
        <v/>
      </c>
      <c r="S282" s="13">
        <f>IF(R282="","",IF(R282&gt;=6,"A",IF(R282&gt;=4,"B","C")))</f>
        <v/>
      </c>
      <c r="T282" s="10" t="n"/>
      <c r="U282" s="14" t="n"/>
      <c r="V282" s="10" t="n"/>
      <c r="W282" s="10" t="n"/>
    </row>
    <row r="283">
      <c r="A283" s="10" t="n"/>
      <c r="B283" s="10" t="n"/>
      <c r="C283" s="10" t="n"/>
      <c r="D283" s="10" t="n"/>
      <c r="E283" s="10" t="n"/>
      <c r="F283" s="11" t="n"/>
      <c r="G283" s="10" t="n"/>
      <c r="H283" s="12" t="n"/>
      <c r="I283" s="11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3">
        <f>IF(A283="","",IF(AND(N(F283)&gt;=3000,G283&lt;&gt;"Yes"),3,0)+IF(J283="Yes",2,0)+IF(OR(D283="1 venue",D283="2-6 venues"),1,0)+IF(OR(B283="Specialty coffee",B283="Brunch / cafe",B283="Dessert / bakery"),1,0)+IF(AND(N(H283)&gt;=4.3,N(I283)&gt;=50),1,0)+IF(AND(OR(M283&lt;&gt;"",N283&lt;&gt;""),O283&lt;&gt;""),1,0))</f>
        <v/>
      </c>
      <c r="S283" s="13">
        <f>IF(R283="","",IF(R283&gt;=6,"A",IF(R283&gt;=4,"B","C")))</f>
        <v/>
      </c>
      <c r="T283" s="10" t="n"/>
      <c r="U283" s="14" t="n"/>
      <c r="V283" s="10" t="n"/>
      <c r="W283" s="10" t="n"/>
    </row>
    <row r="284">
      <c r="A284" s="10" t="n"/>
      <c r="B284" s="10" t="n"/>
      <c r="C284" s="10" t="n"/>
      <c r="D284" s="10" t="n"/>
      <c r="E284" s="10" t="n"/>
      <c r="F284" s="11" t="n"/>
      <c r="G284" s="10" t="n"/>
      <c r="H284" s="12" t="n"/>
      <c r="I284" s="11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3">
        <f>IF(A284="","",IF(AND(N(F284)&gt;=3000,G284&lt;&gt;"Yes"),3,0)+IF(J284="Yes",2,0)+IF(OR(D284="1 venue",D284="2-6 venues"),1,0)+IF(OR(B284="Specialty coffee",B284="Brunch / cafe",B284="Dessert / bakery"),1,0)+IF(AND(N(H284)&gt;=4.3,N(I284)&gt;=50),1,0)+IF(AND(OR(M284&lt;&gt;"",N284&lt;&gt;""),O284&lt;&gt;""),1,0))</f>
        <v/>
      </c>
      <c r="S284" s="13">
        <f>IF(R284="","",IF(R284&gt;=6,"A",IF(R284&gt;=4,"B","C")))</f>
        <v/>
      </c>
      <c r="T284" s="10" t="n"/>
      <c r="U284" s="14" t="n"/>
      <c r="V284" s="10" t="n"/>
      <c r="W284" s="10" t="n"/>
    </row>
    <row r="285">
      <c r="A285" s="10" t="n"/>
      <c r="B285" s="10" t="n"/>
      <c r="C285" s="10" t="n"/>
      <c r="D285" s="10" t="n"/>
      <c r="E285" s="10" t="n"/>
      <c r="F285" s="11" t="n"/>
      <c r="G285" s="10" t="n"/>
      <c r="H285" s="12" t="n"/>
      <c r="I285" s="11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3">
        <f>IF(A285="","",IF(AND(N(F285)&gt;=3000,G285&lt;&gt;"Yes"),3,0)+IF(J285="Yes",2,0)+IF(OR(D285="1 venue",D285="2-6 venues"),1,0)+IF(OR(B285="Specialty coffee",B285="Brunch / cafe",B285="Dessert / bakery"),1,0)+IF(AND(N(H285)&gt;=4.3,N(I285)&gt;=50),1,0)+IF(AND(OR(M285&lt;&gt;"",N285&lt;&gt;""),O285&lt;&gt;""),1,0))</f>
        <v/>
      </c>
      <c r="S285" s="13">
        <f>IF(R285="","",IF(R285&gt;=6,"A",IF(R285&gt;=4,"B","C")))</f>
        <v/>
      </c>
      <c r="T285" s="10" t="n"/>
      <c r="U285" s="14" t="n"/>
      <c r="V285" s="10" t="n"/>
      <c r="W285" s="10" t="n"/>
    </row>
    <row r="286">
      <c r="A286" s="10" t="n"/>
      <c r="B286" s="10" t="n"/>
      <c r="C286" s="10" t="n"/>
      <c r="D286" s="10" t="n"/>
      <c r="E286" s="10" t="n"/>
      <c r="F286" s="11" t="n"/>
      <c r="G286" s="10" t="n"/>
      <c r="H286" s="12" t="n"/>
      <c r="I286" s="11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3">
        <f>IF(A286="","",IF(AND(N(F286)&gt;=3000,G286&lt;&gt;"Yes"),3,0)+IF(J286="Yes",2,0)+IF(OR(D286="1 venue",D286="2-6 venues"),1,0)+IF(OR(B286="Specialty coffee",B286="Brunch / cafe",B286="Dessert / bakery"),1,0)+IF(AND(N(H286)&gt;=4.3,N(I286)&gt;=50),1,0)+IF(AND(OR(M286&lt;&gt;"",N286&lt;&gt;""),O286&lt;&gt;""),1,0))</f>
        <v/>
      </c>
      <c r="S286" s="13">
        <f>IF(R286="","",IF(R286&gt;=6,"A",IF(R286&gt;=4,"B","C")))</f>
        <v/>
      </c>
      <c r="T286" s="10" t="n"/>
      <c r="U286" s="14" t="n"/>
      <c r="V286" s="10" t="n"/>
      <c r="W286" s="10" t="n"/>
    </row>
    <row r="287">
      <c r="A287" s="10" t="n"/>
      <c r="B287" s="10" t="n"/>
      <c r="C287" s="10" t="n"/>
      <c r="D287" s="10" t="n"/>
      <c r="E287" s="10" t="n"/>
      <c r="F287" s="11" t="n"/>
      <c r="G287" s="10" t="n"/>
      <c r="H287" s="12" t="n"/>
      <c r="I287" s="11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3">
        <f>IF(A287="","",IF(AND(N(F287)&gt;=3000,G287&lt;&gt;"Yes"),3,0)+IF(J287="Yes",2,0)+IF(OR(D287="1 venue",D287="2-6 venues"),1,0)+IF(OR(B287="Specialty coffee",B287="Brunch / cafe",B287="Dessert / bakery"),1,0)+IF(AND(N(H287)&gt;=4.3,N(I287)&gt;=50),1,0)+IF(AND(OR(M287&lt;&gt;"",N287&lt;&gt;""),O287&lt;&gt;""),1,0))</f>
        <v/>
      </c>
      <c r="S287" s="13">
        <f>IF(R287="","",IF(R287&gt;=6,"A",IF(R287&gt;=4,"B","C")))</f>
        <v/>
      </c>
      <c r="T287" s="10" t="n"/>
      <c r="U287" s="14" t="n"/>
      <c r="V287" s="10" t="n"/>
      <c r="W287" s="10" t="n"/>
    </row>
    <row r="288">
      <c r="A288" s="10" t="n"/>
      <c r="B288" s="10" t="n"/>
      <c r="C288" s="10" t="n"/>
      <c r="D288" s="10" t="n"/>
      <c r="E288" s="10" t="n"/>
      <c r="F288" s="11" t="n"/>
      <c r="G288" s="10" t="n"/>
      <c r="H288" s="12" t="n"/>
      <c r="I288" s="11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3">
        <f>IF(A288="","",IF(AND(N(F288)&gt;=3000,G288&lt;&gt;"Yes"),3,0)+IF(J288="Yes",2,0)+IF(OR(D288="1 venue",D288="2-6 venues"),1,0)+IF(OR(B288="Specialty coffee",B288="Brunch / cafe",B288="Dessert / bakery"),1,0)+IF(AND(N(H288)&gt;=4.3,N(I288)&gt;=50),1,0)+IF(AND(OR(M288&lt;&gt;"",N288&lt;&gt;""),O288&lt;&gt;""),1,0))</f>
        <v/>
      </c>
      <c r="S288" s="13">
        <f>IF(R288="","",IF(R288&gt;=6,"A",IF(R288&gt;=4,"B","C")))</f>
        <v/>
      </c>
      <c r="T288" s="10" t="n"/>
      <c r="U288" s="14" t="n"/>
      <c r="V288" s="10" t="n"/>
      <c r="W288" s="10" t="n"/>
    </row>
    <row r="289">
      <c r="A289" s="10" t="n"/>
      <c r="B289" s="10" t="n"/>
      <c r="C289" s="10" t="n"/>
      <c r="D289" s="10" t="n"/>
      <c r="E289" s="10" t="n"/>
      <c r="F289" s="11" t="n"/>
      <c r="G289" s="10" t="n"/>
      <c r="H289" s="12" t="n"/>
      <c r="I289" s="11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3">
        <f>IF(A289="","",IF(AND(N(F289)&gt;=3000,G289&lt;&gt;"Yes"),3,0)+IF(J289="Yes",2,0)+IF(OR(D289="1 venue",D289="2-6 venues"),1,0)+IF(OR(B289="Specialty coffee",B289="Brunch / cafe",B289="Dessert / bakery"),1,0)+IF(AND(N(H289)&gt;=4.3,N(I289)&gt;=50),1,0)+IF(AND(OR(M289&lt;&gt;"",N289&lt;&gt;""),O289&lt;&gt;""),1,0))</f>
        <v/>
      </c>
      <c r="S289" s="13">
        <f>IF(R289="","",IF(R289&gt;=6,"A",IF(R289&gt;=4,"B","C")))</f>
        <v/>
      </c>
      <c r="T289" s="10" t="n"/>
      <c r="U289" s="14" t="n"/>
      <c r="V289" s="10" t="n"/>
      <c r="W289" s="10" t="n"/>
    </row>
    <row r="290">
      <c r="A290" s="10" t="n"/>
      <c r="B290" s="10" t="n"/>
      <c r="C290" s="10" t="n"/>
      <c r="D290" s="10" t="n"/>
      <c r="E290" s="10" t="n"/>
      <c r="F290" s="11" t="n"/>
      <c r="G290" s="10" t="n"/>
      <c r="H290" s="12" t="n"/>
      <c r="I290" s="11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3">
        <f>IF(A290="","",IF(AND(N(F290)&gt;=3000,G290&lt;&gt;"Yes"),3,0)+IF(J290="Yes",2,0)+IF(OR(D290="1 venue",D290="2-6 venues"),1,0)+IF(OR(B290="Specialty coffee",B290="Brunch / cafe",B290="Dessert / bakery"),1,0)+IF(AND(N(H290)&gt;=4.3,N(I290)&gt;=50),1,0)+IF(AND(OR(M290&lt;&gt;"",N290&lt;&gt;""),O290&lt;&gt;""),1,0))</f>
        <v/>
      </c>
      <c r="S290" s="13">
        <f>IF(R290="","",IF(R290&gt;=6,"A",IF(R290&gt;=4,"B","C")))</f>
        <v/>
      </c>
      <c r="T290" s="10" t="n"/>
      <c r="U290" s="14" t="n"/>
      <c r="V290" s="10" t="n"/>
      <c r="W290" s="10" t="n"/>
    </row>
    <row r="291">
      <c r="A291" s="10" t="n"/>
      <c r="B291" s="10" t="n"/>
      <c r="C291" s="10" t="n"/>
      <c r="D291" s="10" t="n"/>
      <c r="E291" s="10" t="n"/>
      <c r="F291" s="11" t="n"/>
      <c r="G291" s="10" t="n"/>
      <c r="H291" s="12" t="n"/>
      <c r="I291" s="11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3">
        <f>IF(A291="","",IF(AND(N(F291)&gt;=3000,G291&lt;&gt;"Yes"),3,0)+IF(J291="Yes",2,0)+IF(OR(D291="1 venue",D291="2-6 venues"),1,0)+IF(OR(B291="Specialty coffee",B291="Brunch / cafe",B291="Dessert / bakery"),1,0)+IF(AND(N(H291)&gt;=4.3,N(I291)&gt;=50),1,0)+IF(AND(OR(M291&lt;&gt;"",N291&lt;&gt;""),O291&lt;&gt;""),1,0))</f>
        <v/>
      </c>
      <c r="S291" s="13">
        <f>IF(R291="","",IF(R291&gt;=6,"A",IF(R291&gt;=4,"B","C")))</f>
        <v/>
      </c>
      <c r="T291" s="10" t="n"/>
      <c r="U291" s="14" t="n"/>
      <c r="V291" s="10" t="n"/>
      <c r="W291" s="10" t="n"/>
    </row>
    <row r="292">
      <c r="A292" s="10" t="n"/>
      <c r="B292" s="10" t="n"/>
      <c r="C292" s="10" t="n"/>
      <c r="D292" s="10" t="n"/>
      <c r="E292" s="10" t="n"/>
      <c r="F292" s="11" t="n"/>
      <c r="G292" s="10" t="n"/>
      <c r="H292" s="12" t="n"/>
      <c r="I292" s="11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3">
        <f>IF(A292="","",IF(AND(N(F292)&gt;=3000,G292&lt;&gt;"Yes"),3,0)+IF(J292="Yes",2,0)+IF(OR(D292="1 venue",D292="2-6 venues"),1,0)+IF(OR(B292="Specialty coffee",B292="Brunch / cafe",B292="Dessert / bakery"),1,0)+IF(AND(N(H292)&gt;=4.3,N(I292)&gt;=50),1,0)+IF(AND(OR(M292&lt;&gt;"",N292&lt;&gt;""),O292&lt;&gt;""),1,0))</f>
        <v/>
      </c>
      <c r="S292" s="13">
        <f>IF(R292="","",IF(R292&gt;=6,"A",IF(R292&gt;=4,"B","C")))</f>
        <v/>
      </c>
      <c r="T292" s="10" t="n"/>
      <c r="U292" s="14" t="n"/>
      <c r="V292" s="10" t="n"/>
      <c r="W292" s="10" t="n"/>
    </row>
    <row r="293">
      <c r="A293" s="10" t="n"/>
      <c r="B293" s="10" t="n"/>
      <c r="C293" s="10" t="n"/>
      <c r="D293" s="10" t="n"/>
      <c r="E293" s="10" t="n"/>
      <c r="F293" s="11" t="n"/>
      <c r="G293" s="10" t="n"/>
      <c r="H293" s="12" t="n"/>
      <c r="I293" s="11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3">
        <f>IF(A293="","",IF(AND(N(F293)&gt;=3000,G293&lt;&gt;"Yes"),3,0)+IF(J293="Yes",2,0)+IF(OR(D293="1 venue",D293="2-6 venues"),1,0)+IF(OR(B293="Specialty coffee",B293="Brunch / cafe",B293="Dessert / bakery"),1,0)+IF(AND(N(H293)&gt;=4.3,N(I293)&gt;=50),1,0)+IF(AND(OR(M293&lt;&gt;"",N293&lt;&gt;""),O293&lt;&gt;""),1,0))</f>
        <v/>
      </c>
      <c r="S293" s="13">
        <f>IF(R293="","",IF(R293&gt;=6,"A",IF(R293&gt;=4,"B","C")))</f>
        <v/>
      </c>
      <c r="T293" s="10" t="n"/>
      <c r="U293" s="14" t="n"/>
      <c r="V293" s="10" t="n"/>
      <c r="W293" s="10" t="n"/>
    </row>
    <row r="294">
      <c r="A294" s="10" t="n"/>
      <c r="B294" s="10" t="n"/>
      <c r="C294" s="10" t="n"/>
      <c r="D294" s="10" t="n"/>
      <c r="E294" s="10" t="n"/>
      <c r="F294" s="11" t="n"/>
      <c r="G294" s="10" t="n"/>
      <c r="H294" s="12" t="n"/>
      <c r="I294" s="11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3">
        <f>IF(A294="","",IF(AND(N(F294)&gt;=3000,G294&lt;&gt;"Yes"),3,0)+IF(J294="Yes",2,0)+IF(OR(D294="1 venue",D294="2-6 venues"),1,0)+IF(OR(B294="Specialty coffee",B294="Brunch / cafe",B294="Dessert / bakery"),1,0)+IF(AND(N(H294)&gt;=4.3,N(I294)&gt;=50),1,0)+IF(AND(OR(M294&lt;&gt;"",N294&lt;&gt;""),O294&lt;&gt;""),1,0))</f>
        <v/>
      </c>
      <c r="S294" s="13">
        <f>IF(R294="","",IF(R294&gt;=6,"A",IF(R294&gt;=4,"B","C")))</f>
        <v/>
      </c>
      <c r="T294" s="10" t="n"/>
      <c r="U294" s="14" t="n"/>
      <c r="V294" s="10" t="n"/>
      <c r="W294" s="10" t="n"/>
    </row>
    <row r="295">
      <c r="A295" s="10" t="n"/>
      <c r="B295" s="10" t="n"/>
      <c r="C295" s="10" t="n"/>
      <c r="D295" s="10" t="n"/>
      <c r="E295" s="10" t="n"/>
      <c r="F295" s="11" t="n"/>
      <c r="G295" s="10" t="n"/>
      <c r="H295" s="12" t="n"/>
      <c r="I295" s="11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3">
        <f>IF(A295="","",IF(AND(N(F295)&gt;=3000,G295&lt;&gt;"Yes"),3,0)+IF(J295="Yes",2,0)+IF(OR(D295="1 venue",D295="2-6 venues"),1,0)+IF(OR(B295="Specialty coffee",B295="Brunch / cafe",B295="Dessert / bakery"),1,0)+IF(AND(N(H295)&gt;=4.3,N(I295)&gt;=50),1,0)+IF(AND(OR(M295&lt;&gt;"",N295&lt;&gt;""),O295&lt;&gt;""),1,0))</f>
        <v/>
      </c>
      <c r="S295" s="13">
        <f>IF(R295="","",IF(R295&gt;=6,"A",IF(R295&gt;=4,"B","C")))</f>
        <v/>
      </c>
      <c r="T295" s="10" t="n"/>
      <c r="U295" s="14" t="n"/>
      <c r="V295" s="10" t="n"/>
      <c r="W295" s="10" t="n"/>
    </row>
    <row r="296">
      <c r="A296" s="10" t="n"/>
      <c r="B296" s="10" t="n"/>
      <c r="C296" s="10" t="n"/>
      <c r="D296" s="10" t="n"/>
      <c r="E296" s="10" t="n"/>
      <c r="F296" s="11" t="n"/>
      <c r="G296" s="10" t="n"/>
      <c r="H296" s="12" t="n"/>
      <c r="I296" s="11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3">
        <f>IF(A296="","",IF(AND(N(F296)&gt;=3000,G296&lt;&gt;"Yes"),3,0)+IF(J296="Yes",2,0)+IF(OR(D296="1 venue",D296="2-6 venues"),1,0)+IF(OR(B296="Specialty coffee",B296="Brunch / cafe",B296="Dessert / bakery"),1,0)+IF(AND(N(H296)&gt;=4.3,N(I296)&gt;=50),1,0)+IF(AND(OR(M296&lt;&gt;"",N296&lt;&gt;""),O296&lt;&gt;""),1,0))</f>
        <v/>
      </c>
      <c r="S296" s="13">
        <f>IF(R296="","",IF(R296&gt;=6,"A",IF(R296&gt;=4,"B","C")))</f>
        <v/>
      </c>
      <c r="T296" s="10" t="n"/>
      <c r="U296" s="14" t="n"/>
      <c r="V296" s="10" t="n"/>
      <c r="W296" s="10" t="n"/>
    </row>
    <row r="297">
      <c r="A297" s="10" t="n"/>
      <c r="B297" s="10" t="n"/>
      <c r="C297" s="10" t="n"/>
      <c r="D297" s="10" t="n"/>
      <c r="E297" s="10" t="n"/>
      <c r="F297" s="11" t="n"/>
      <c r="G297" s="10" t="n"/>
      <c r="H297" s="12" t="n"/>
      <c r="I297" s="11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3">
        <f>IF(A297="","",IF(AND(N(F297)&gt;=3000,G297&lt;&gt;"Yes"),3,0)+IF(J297="Yes",2,0)+IF(OR(D297="1 venue",D297="2-6 venues"),1,0)+IF(OR(B297="Specialty coffee",B297="Brunch / cafe",B297="Dessert / bakery"),1,0)+IF(AND(N(H297)&gt;=4.3,N(I297)&gt;=50),1,0)+IF(AND(OR(M297&lt;&gt;"",N297&lt;&gt;""),O297&lt;&gt;""),1,0))</f>
        <v/>
      </c>
      <c r="S297" s="13">
        <f>IF(R297="","",IF(R297&gt;=6,"A",IF(R297&gt;=4,"B","C")))</f>
        <v/>
      </c>
      <c r="T297" s="10" t="n"/>
      <c r="U297" s="14" t="n"/>
      <c r="V297" s="10" t="n"/>
      <c r="W297" s="10" t="n"/>
    </row>
    <row r="298">
      <c r="A298" s="10" t="n"/>
      <c r="B298" s="10" t="n"/>
      <c r="C298" s="10" t="n"/>
      <c r="D298" s="10" t="n"/>
      <c r="E298" s="10" t="n"/>
      <c r="F298" s="11" t="n"/>
      <c r="G298" s="10" t="n"/>
      <c r="H298" s="12" t="n"/>
      <c r="I298" s="11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3">
        <f>IF(A298="","",IF(AND(N(F298)&gt;=3000,G298&lt;&gt;"Yes"),3,0)+IF(J298="Yes",2,0)+IF(OR(D298="1 venue",D298="2-6 venues"),1,0)+IF(OR(B298="Specialty coffee",B298="Brunch / cafe",B298="Dessert / bakery"),1,0)+IF(AND(N(H298)&gt;=4.3,N(I298)&gt;=50),1,0)+IF(AND(OR(M298&lt;&gt;"",N298&lt;&gt;""),O298&lt;&gt;""),1,0))</f>
        <v/>
      </c>
      <c r="S298" s="13">
        <f>IF(R298="","",IF(R298&gt;=6,"A",IF(R298&gt;=4,"B","C")))</f>
        <v/>
      </c>
      <c r="T298" s="10" t="n"/>
      <c r="U298" s="14" t="n"/>
      <c r="V298" s="10" t="n"/>
      <c r="W298" s="10" t="n"/>
    </row>
    <row r="299">
      <c r="A299" s="10" t="n"/>
      <c r="B299" s="10" t="n"/>
      <c r="C299" s="10" t="n"/>
      <c r="D299" s="10" t="n"/>
      <c r="E299" s="10" t="n"/>
      <c r="F299" s="11" t="n"/>
      <c r="G299" s="10" t="n"/>
      <c r="H299" s="12" t="n"/>
      <c r="I299" s="11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3">
        <f>IF(A299="","",IF(AND(N(F299)&gt;=3000,G299&lt;&gt;"Yes"),3,0)+IF(J299="Yes",2,0)+IF(OR(D299="1 venue",D299="2-6 venues"),1,0)+IF(OR(B299="Specialty coffee",B299="Brunch / cafe",B299="Dessert / bakery"),1,0)+IF(AND(N(H299)&gt;=4.3,N(I299)&gt;=50),1,0)+IF(AND(OR(M299&lt;&gt;"",N299&lt;&gt;""),O299&lt;&gt;""),1,0))</f>
        <v/>
      </c>
      <c r="S299" s="13">
        <f>IF(R299="","",IF(R299&gt;=6,"A",IF(R299&gt;=4,"B","C")))</f>
        <v/>
      </c>
      <c r="T299" s="10" t="n"/>
      <c r="U299" s="14" t="n"/>
      <c r="V299" s="10" t="n"/>
      <c r="W299" s="10" t="n"/>
    </row>
    <row r="300">
      <c r="A300" s="10" t="n"/>
      <c r="B300" s="10" t="n"/>
      <c r="C300" s="10" t="n"/>
      <c r="D300" s="10" t="n"/>
      <c r="E300" s="10" t="n"/>
      <c r="F300" s="11" t="n"/>
      <c r="G300" s="10" t="n"/>
      <c r="H300" s="12" t="n"/>
      <c r="I300" s="11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3">
        <f>IF(A300="","",IF(AND(N(F300)&gt;=3000,G300&lt;&gt;"Yes"),3,0)+IF(J300="Yes",2,0)+IF(OR(D300="1 venue",D300="2-6 venues"),1,0)+IF(OR(B300="Specialty coffee",B300="Brunch / cafe",B300="Dessert / bakery"),1,0)+IF(AND(N(H300)&gt;=4.3,N(I300)&gt;=50),1,0)+IF(AND(OR(M300&lt;&gt;"",N300&lt;&gt;""),O300&lt;&gt;""),1,0))</f>
        <v/>
      </c>
      <c r="S300" s="13">
        <f>IF(R300="","",IF(R300&gt;=6,"A",IF(R300&gt;=4,"B","C")))</f>
        <v/>
      </c>
      <c r="T300" s="10" t="n"/>
      <c r="U300" s="14" t="n"/>
      <c r="V300" s="10" t="n"/>
      <c r="W300" s="10" t="n"/>
    </row>
    <row r="301">
      <c r="A301" s="10" t="n"/>
      <c r="B301" s="10" t="n"/>
      <c r="C301" s="10" t="n"/>
      <c r="D301" s="10" t="n"/>
      <c r="E301" s="10" t="n"/>
      <c r="F301" s="11" t="n"/>
      <c r="G301" s="10" t="n"/>
      <c r="H301" s="12" t="n"/>
      <c r="I301" s="11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3">
        <f>IF(A301="","",IF(AND(N(F301)&gt;=3000,G301&lt;&gt;"Yes"),3,0)+IF(J301="Yes",2,0)+IF(OR(D301="1 venue",D301="2-6 venues"),1,0)+IF(OR(B301="Specialty coffee",B301="Brunch / cafe",B301="Dessert / bakery"),1,0)+IF(AND(N(H301)&gt;=4.3,N(I301)&gt;=50),1,0)+IF(AND(OR(M301&lt;&gt;"",N301&lt;&gt;""),O301&lt;&gt;""),1,0))</f>
        <v/>
      </c>
      <c r="S301" s="13">
        <f>IF(R301="","",IF(R301&gt;=6,"A",IF(R301&gt;=4,"B","C")))</f>
        <v/>
      </c>
      <c r="T301" s="10" t="n"/>
      <c r="U301" s="14" t="n"/>
      <c r="V301" s="10" t="n"/>
      <c r="W301" s="10" t="n"/>
    </row>
    <row r="302">
      <c r="A302" s="10" t="n"/>
      <c r="B302" s="10" t="n"/>
      <c r="C302" s="10" t="n"/>
      <c r="D302" s="10" t="n"/>
      <c r="E302" s="10" t="n"/>
      <c r="F302" s="11" t="n"/>
      <c r="G302" s="10" t="n"/>
      <c r="H302" s="12" t="n"/>
      <c r="I302" s="11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3">
        <f>IF(A302="","",IF(AND(N(F302)&gt;=3000,G302&lt;&gt;"Yes"),3,0)+IF(J302="Yes",2,0)+IF(OR(D302="1 venue",D302="2-6 venues"),1,0)+IF(OR(B302="Specialty coffee",B302="Brunch / cafe",B302="Dessert / bakery"),1,0)+IF(AND(N(H302)&gt;=4.3,N(I302)&gt;=50),1,0)+IF(AND(OR(M302&lt;&gt;"",N302&lt;&gt;""),O302&lt;&gt;""),1,0))</f>
        <v/>
      </c>
      <c r="S302" s="13">
        <f>IF(R302="","",IF(R302&gt;=6,"A",IF(R302&gt;=4,"B","C")))</f>
        <v/>
      </c>
      <c r="T302" s="10" t="n"/>
      <c r="U302" s="14" t="n"/>
      <c r="V302" s="10" t="n"/>
      <c r="W302" s="10" t="n"/>
    </row>
    <row r="303">
      <c r="A303" s="10" t="n"/>
      <c r="B303" s="10" t="n"/>
      <c r="C303" s="10" t="n"/>
      <c r="D303" s="10" t="n"/>
      <c r="E303" s="10" t="n"/>
      <c r="F303" s="11" t="n"/>
      <c r="G303" s="10" t="n"/>
      <c r="H303" s="12" t="n"/>
      <c r="I303" s="11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3">
        <f>IF(A303="","",IF(AND(N(F303)&gt;=3000,G303&lt;&gt;"Yes"),3,0)+IF(J303="Yes",2,0)+IF(OR(D303="1 venue",D303="2-6 venues"),1,0)+IF(OR(B303="Specialty coffee",B303="Brunch / cafe",B303="Dessert / bakery"),1,0)+IF(AND(N(H303)&gt;=4.3,N(I303)&gt;=50),1,0)+IF(AND(OR(M303&lt;&gt;"",N303&lt;&gt;""),O303&lt;&gt;""),1,0))</f>
        <v/>
      </c>
      <c r="S303" s="13">
        <f>IF(R303="","",IF(R303&gt;=6,"A",IF(R303&gt;=4,"B","C")))</f>
        <v/>
      </c>
      <c r="T303" s="10" t="n"/>
      <c r="U303" s="14" t="n"/>
      <c r="V303" s="10" t="n"/>
      <c r="W303" s="10" t="n"/>
    </row>
    <row r="304">
      <c r="A304" s="10" t="n"/>
      <c r="B304" s="10" t="n"/>
      <c r="C304" s="10" t="n"/>
      <c r="D304" s="10" t="n"/>
      <c r="E304" s="10" t="n"/>
      <c r="F304" s="11" t="n"/>
      <c r="G304" s="10" t="n"/>
      <c r="H304" s="12" t="n"/>
      <c r="I304" s="11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3">
        <f>IF(A304="","",IF(AND(N(F304)&gt;=3000,G304&lt;&gt;"Yes"),3,0)+IF(J304="Yes",2,0)+IF(OR(D304="1 venue",D304="2-6 venues"),1,0)+IF(OR(B304="Specialty coffee",B304="Brunch / cafe",B304="Dessert / bakery"),1,0)+IF(AND(N(H304)&gt;=4.3,N(I304)&gt;=50),1,0)+IF(AND(OR(M304&lt;&gt;"",N304&lt;&gt;""),O304&lt;&gt;""),1,0))</f>
        <v/>
      </c>
      <c r="S304" s="13">
        <f>IF(R304="","",IF(R304&gt;=6,"A",IF(R304&gt;=4,"B","C")))</f>
        <v/>
      </c>
      <c r="T304" s="10" t="n"/>
      <c r="U304" s="14" t="n"/>
      <c r="V304" s="10" t="n"/>
      <c r="W304" s="10" t="n"/>
    </row>
    <row r="305">
      <c r="A305" s="10" t="n"/>
      <c r="B305" s="10" t="n"/>
      <c r="C305" s="10" t="n"/>
      <c r="D305" s="10" t="n"/>
      <c r="E305" s="10" t="n"/>
      <c r="F305" s="11" t="n"/>
      <c r="G305" s="10" t="n"/>
      <c r="H305" s="12" t="n"/>
      <c r="I305" s="11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3">
        <f>IF(A305="","",IF(AND(N(F305)&gt;=3000,G305&lt;&gt;"Yes"),3,0)+IF(J305="Yes",2,0)+IF(OR(D305="1 venue",D305="2-6 venues"),1,0)+IF(OR(B305="Specialty coffee",B305="Brunch / cafe",B305="Dessert / bakery"),1,0)+IF(AND(N(H305)&gt;=4.3,N(I305)&gt;=50),1,0)+IF(AND(OR(M305&lt;&gt;"",N305&lt;&gt;""),O305&lt;&gt;""),1,0))</f>
        <v/>
      </c>
      <c r="S305" s="13">
        <f>IF(R305="","",IF(R305&gt;=6,"A",IF(R305&gt;=4,"B","C")))</f>
        <v/>
      </c>
      <c r="T305" s="10" t="n"/>
      <c r="U305" s="14" t="n"/>
      <c r="V305" s="10" t="n"/>
      <c r="W305" s="10" t="n"/>
    </row>
    <row r="306">
      <c r="A306" s="10" t="n"/>
      <c r="B306" s="10" t="n"/>
      <c r="C306" s="10" t="n"/>
      <c r="D306" s="10" t="n"/>
      <c r="E306" s="10" t="n"/>
      <c r="F306" s="11" t="n"/>
      <c r="G306" s="10" t="n"/>
      <c r="H306" s="12" t="n"/>
      <c r="I306" s="11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3">
        <f>IF(A306="","",IF(AND(N(F306)&gt;=3000,G306&lt;&gt;"Yes"),3,0)+IF(J306="Yes",2,0)+IF(OR(D306="1 venue",D306="2-6 venues"),1,0)+IF(OR(B306="Specialty coffee",B306="Brunch / cafe",B306="Dessert / bakery"),1,0)+IF(AND(N(H306)&gt;=4.3,N(I306)&gt;=50),1,0)+IF(AND(OR(M306&lt;&gt;"",N306&lt;&gt;""),O306&lt;&gt;""),1,0))</f>
        <v/>
      </c>
      <c r="S306" s="13">
        <f>IF(R306="","",IF(R306&gt;=6,"A",IF(R306&gt;=4,"B","C")))</f>
        <v/>
      </c>
      <c r="T306" s="10" t="n"/>
      <c r="U306" s="14" t="n"/>
      <c r="V306" s="10" t="n"/>
      <c r="W306" s="10" t="n"/>
    </row>
    <row r="307">
      <c r="A307" s="10" t="n"/>
      <c r="B307" s="10" t="n"/>
      <c r="C307" s="10" t="n"/>
      <c r="D307" s="10" t="n"/>
      <c r="E307" s="10" t="n"/>
      <c r="F307" s="11" t="n"/>
      <c r="G307" s="10" t="n"/>
      <c r="H307" s="12" t="n"/>
      <c r="I307" s="11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3">
        <f>IF(A307="","",IF(AND(N(F307)&gt;=3000,G307&lt;&gt;"Yes"),3,0)+IF(J307="Yes",2,0)+IF(OR(D307="1 venue",D307="2-6 venues"),1,0)+IF(OR(B307="Specialty coffee",B307="Brunch / cafe",B307="Dessert / bakery"),1,0)+IF(AND(N(H307)&gt;=4.3,N(I307)&gt;=50),1,0)+IF(AND(OR(M307&lt;&gt;"",N307&lt;&gt;""),O307&lt;&gt;""),1,0))</f>
        <v/>
      </c>
      <c r="S307" s="13">
        <f>IF(R307="","",IF(R307&gt;=6,"A",IF(R307&gt;=4,"B","C")))</f>
        <v/>
      </c>
      <c r="T307" s="10" t="n"/>
      <c r="U307" s="14" t="n"/>
      <c r="V307" s="10" t="n"/>
      <c r="W307" s="10" t="n"/>
    </row>
    <row r="308">
      <c r="A308" s="10" t="n"/>
      <c r="B308" s="10" t="n"/>
      <c r="C308" s="10" t="n"/>
      <c r="D308" s="10" t="n"/>
      <c r="E308" s="10" t="n"/>
      <c r="F308" s="11" t="n"/>
      <c r="G308" s="10" t="n"/>
      <c r="H308" s="12" t="n"/>
      <c r="I308" s="11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3">
        <f>IF(A308="","",IF(AND(N(F308)&gt;=3000,G308&lt;&gt;"Yes"),3,0)+IF(J308="Yes",2,0)+IF(OR(D308="1 venue",D308="2-6 venues"),1,0)+IF(OR(B308="Specialty coffee",B308="Brunch / cafe",B308="Dessert / bakery"),1,0)+IF(AND(N(H308)&gt;=4.3,N(I308)&gt;=50),1,0)+IF(AND(OR(M308&lt;&gt;"",N308&lt;&gt;""),O308&lt;&gt;""),1,0))</f>
        <v/>
      </c>
      <c r="S308" s="13">
        <f>IF(R308="","",IF(R308&gt;=6,"A",IF(R308&gt;=4,"B","C")))</f>
        <v/>
      </c>
      <c r="T308" s="10" t="n"/>
      <c r="U308" s="14" t="n"/>
      <c r="V308" s="10" t="n"/>
      <c r="W308" s="10" t="n"/>
    </row>
    <row r="309">
      <c r="A309" s="10" t="n"/>
      <c r="B309" s="10" t="n"/>
      <c r="C309" s="10" t="n"/>
      <c r="D309" s="10" t="n"/>
      <c r="E309" s="10" t="n"/>
      <c r="F309" s="11" t="n"/>
      <c r="G309" s="10" t="n"/>
      <c r="H309" s="12" t="n"/>
      <c r="I309" s="11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3">
        <f>IF(A309="","",IF(AND(N(F309)&gt;=3000,G309&lt;&gt;"Yes"),3,0)+IF(J309="Yes",2,0)+IF(OR(D309="1 venue",D309="2-6 venues"),1,0)+IF(OR(B309="Specialty coffee",B309="Brunch / cafe",B309="Dessert / bakery"),1,0)+IF(AND(N(H309)&gt;=4.3,N(I309)&gt;=50),1,0)+IF(AND(OR(M309&lt;&gt;"",N309&lt;&gt;""),O309&lt;&gt;""),1,0))</f>
        <v/>
      </c>
      <c r="S309" s="13">
        <f>IF(R309="","",IF(R309&gt;=6,"A",IF(R309&gt;=4,"B","C")))</f>
        <v/>
      </c>
      <c r="T309" s="10" t="n"/>
      <c r="U309" s="14" t="n"/>
      <c r="V309" s="10" t="n"/>
      <c r="W309" s="10" t="n"/>
    </row>
    <row r="310">
      <c r="A310" s="10" t="n"/>
      <c r="B310" s="10" t="n"/>
      <c r="C310" s="10" t="n"/>
      <c r="D310" s="10" t="n"/>
      <c r="E310" s="10" t="n"/>
      <c r="F310" s="11" t="n"/>
      <c r="G310" s="10" t="n"/>
      <c r="H310" s="12" t="n"/>
      <c r="I310" s="11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3">
        <f>IF(A310="","",IF(AND(N(F310)&gt;=3000,G310&lt;&gt;"Yes"),3,0)+IF(J310="Yes",2,0)+IF(OR(D310="1 venue",D310="2-6 venues"),1,0)+IF(OR(B310="Specialty coffee",B310="Brunch / cafe",B310="Dessert / bakery"),1,0)+IF(AND(N(H310)&gt;=4.3,N(I310)&gt;=50),1,0)+IF(AND(OR(M310&lt;&gt;"",N310&lt;&gt;""),O310&lt;&gt;""),1,0))</f>
        <v/>
      </c>
      <c r="S310" s="13">
        <f>IF(R310="","",IF(R310&gt;=6,"A",IF(R310&gt;=4,"B","C")))</f>
        <v/>
      </c>
      <c r="T310" s="10" t="n"/>
      <c r="U310" s="14" t="n"/>
      <c r="V310" s="10" t="n"/>
      <c r="W310" s="10" t="n"/>
    </row>
    <row r="311">
      <c r="A311" s="10" t="n"/>
      <c r="B311" s="10" t="n"/>
      <c r="C311" s="10" t="n"/>
      <c r="D311" s="10" t="n"/>
      <c r="E311" s="10" t="n"/>
      <c r="F311" s="11" t="n"/>
      <c r="G311" s="10" t="n"/>
      <c r="H311" s="12" t="n"/>
      <c r="I311" s="11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3">
        <f>IF(A311="","",IF(AND(N(F311)&gt;=3000,G311&lt;&gt;"Yes"),3,0)+IF(J311="Yes",2,0)+IF(OR(D311="1 venue",D311="2-6 venues"),1,0)+IF(OR(B311="Specialty coffee",B311="Brunch / cafe",B311="Dessert / bakery"),1,0)+IF(AND(N(H311)&gt;=4.3,N(I311)&gt;=50),1,0)+IF(AND(OR(M311&lt;&gt;"",N311&lt;&gt;""),O311&lt;&gt;""),1,0))</f>
        <v/>
      </c>
      <c r="S311" s="13">
        <f>IF(R311="","",IF(R311&gt;=6,"A",IF(R311&gt;=4,"B","C")))</f>
        <v/>
      </c>
      <c r="T311" s="10" t="n"/>
      <c r="U311" s="14" t="n"/>
      <c r="V311" s="10" t="n"/>
      <c r="W311" s="10" t="n"/>
    </row>
    <row r="312">
      <c r="A312" s="10" t="n"/>
      <c r="B312" s="10" t="n"/>
      <c r="C312" s="10" t="n"/>
      <c r="D312" s="10" t="n"/>
      <c r="E312" s="10" t="n"/>
      <c r="F312" s="11" t="n"/>
      <c r="G312" s="10" t="n"/>
      <c r="H312" s="12" t="n"/>
      <c r="I312" s="11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3">
        <f>IF(A312="","",IF(AND(N(F312)&gt;=3000,G312&lt;&gt;"Yes"),3,0)+IF(J312="Yes",2,0)+IF(OR(D312="1 venue",D312="2-6 venues"),1,0)+IF(OR(B312="Specialty coffee",B312="Brunch / cafe",B312="Dessert / bakery"),1,0)+IF(AND(N(H312)&gt;=4.3,N(I312)&gt;=50),1,0)+IF(AND(OR(M312&lt;&gt;"",N312&lt;&gt;""),O312&lt;&gt;""),1,0))</f>
        <v/>
      </c>
      <c r="S312" s="13">
        <f>IF(R312="","",IF(R312&gt;=6,"A",IF(R312&gt;=4,"B","C")))</f>
        <v/>
      </c>
      <c r="T312" s="10" t="n"/>
      <c r="U312" s="14" t="n"/>
      <c r="V312" s="10" t="n"/>
      <c r="W312" s="10" t="n"/>
    </row>
    <row r="313">
      <c r="A313" s="10" t="n"/>
      <c r="B313" s="10" t="n"/>
      <c r="C313" s="10" t="n"/>
      <c r="D313" s="10" t="n"/>
      <c r="E313" s="10" t="n"/>
      <c r="F313" s="11" t="n"/>
      <c r="G313" s="10" t="n"/>
      <c r="H313" s="12" t="n"/>
      <c r="I313" s="11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3">
        <f>IF(A313="","",IF(AND(N(F313)&gt;=3000,G313&lt;&gt;"Yes"),3,0)+IF(J313="Yes",2,0)+IF(OR(D313="1 venue",D313="2-6 venues"),1,0)+IF(OR(B313="Specialty coffee",B313="Brunch / cafe",B313="Dessert / bakery"),1,0)+IF(AND(N(H313)&gt;=4.3,N(I313)&gt;=50),1,0)+IF(AND(OR(M313&lt;&gt;"",N313&lt;&gt;""),O313&lt;&gt;""),1,0))</f>
        <v/>
      </c>
      <c r="S313" s="13">
        <f>IF(R313="","",IF(R313&gt;=6,"A",IF(R313&gt;=4,"B","C")))</f>
        <v/>
      </c>
      <c r="T313" s="10" t="n"/>
      <c r="U313" s="14" t="n"/>
      <c r="V313" s="10" t="n"/>
      <c r="W313" s="10" t="n"/>
    </row>
    <row r="314">
      <c r="A314" s="10" t="n"/>
      <c r="B314" s="10" t="n"/>
      <c r="C314" s="10" t="n"/>
      <c r="D314" s="10" t="n"/>
      <c r="E314" s="10" t="n"/>
      <c r="F314" s="11" t="n"/>
      <c r="G314" s="10" t="n"/>
      <c r="H314" s="12" t="n"/>
      <c r="I314" s="11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3">
        <f>IF(A314="","",IF(AND(N(F314)&gt;=3000,G314&lt;&gt;"Yes"),3,0)+IF(J314="Yes",2,0)+IF(OR(D314="1 venue",D314="2-6 venues"),1,0)+IF(OR(B314="Specialty coffee",B314="Brunch / cafe",B314="Dessert / bakery"),1,0)+IF(AND(N(H314)&gt;=4.3,N(I314)&gt;=50),1,0)+IF(AND(OR(M314&lt;&gt;"",N314&lt;&gt;""),O314&lt;&gt;""),1,0))</f>
        <v/>
      </c>
      <c r="S314" s="13">
        <f>IF(R314="","",IF(R314&gt;=6,"A",IF(R314&gt;=4,"B","C")))</f>
        <v/>
      </c>
      <c r="T314" s="10" t="n"/>
      <c r="U314" s="14" t="n"/>
      <c r="V314" s="10" t="n"/>
      <c r="W314" s="10" t="n"/>
    </row>
    <row r="315">
      <c r="A315" s="10" t="n"/>
      <c r="B315" s="10" t="n"/>
      <c r="C315" s="10" t="n"/>
      <c r="D315" s="10" t="n"/>
      <c r="E315" s="10" t="n"/>
      <c r="F315" s="11" t="n"/>
      <c r="G315" s="10" t="n"/>
      <c r="H315" s="12" t="n"/>
      <c r="I315" s="11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3">
        <f>IF(A315="","",IF(AND(N(F315)&gt;=3000,G315&lt;&gt;"Yes"),3,0)+IF(J315="Yes",2,0)+IF(OR(D315="1 venue",D315="2-6 venues"),1,0)+IF(OR(B315="Specialty coffee",B315="Brunch / cafe",B315="Dessert / bakery"),1,0)+IF(AND(N(H315)&gt;=4.3,N(I315)&gt;=50),1,0)+IF(AND(OR(M315&lt;&gt;"",N315&lt;&gt;""),O315&lt;&gt;""),1,0))</f>
        <v/>
      </c>
      <c r="S315" s="13">
        <f>IF(R315="","",IF(R315&gt;=6,"A",IF(R315&gt;=4,"B","C")))</f>
        <v/>
      </c>
      <c r="T315" s="10" t="n"/>
      <c r="U315" s="14" t="n"/>
      <c r="V315" s="10" t="n"/>
      <c r="W315" s="10" t="n"/>
    </row>
    <row r="316">
      <c r="A316" s="10" t="n"/>
      <c r="B316" s="10" t="n"/>
      <c r="C316" s="10" t="n"/>
      <c r="D316" s="10" t="n"/>
      <c r="E316" s="10" t="n"/>
      <c r="F316" s="11" t="n"/>
      <c r="G316" s="10" t="n"/>
      <c r="H316" s="12" t="n"/>
      <c r="I316" s="11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3">
        <f>IF(A316="","",IF(AND(N(F316)&gt;=3000,G316&lt;&gt;"Yes"),3,0)+IF(J316="Yes",2,0)+IF(OR(D316="1 venue",D316="2-6 venues"),1,0)+IF(OR(B316="Specialty coffee",B316="Brunch / cafe",B316="Dessert / bakery"),1,0)+IF(AND(N(H316)&gt;=4.3,N(I316)&gt;=50),1,0)+IF(AND(OR(M316&lt;&gt;"",N316&lt;&gt;""),O316&lt;&gt;""),1,0))</f>
        <v/>
      </c>
      <c r="S316" s="13">
        <f>IF(R316="","",IF(R316&gt;=6,"A",IF(R316&gt;=4,"B","C")))</f>
        <v/>
      </c>
      <c r="T316" s="10" t="n"/>
      <c r="U316" s="14" t="n"/>
      <c r="V316" s="10" t="n"/>
      <c r="W316" s="10" t="n"/>
    </row>
    <row r="317">
      <c r="A317" s="10" t="n"/>
      <c r="B317" s="10" t="n"/>
      <c r="C317" s="10" t="n"/>
      <c r="D317" s="10" t="n"/>
      <c r="E317" s="10" t="n"/>
      <c r="F317" s="11" t="n"/>
      <c r="G317" s="10" t="n"/>
      <c r="H317" s="12" t="n"/>
      <c r="I317" s="11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3">
        <f>IF(A317="","",IF(AND(N(F317)&gt;=3000,G317&lt;&gt;"Yes"),3,0)+IF(J317="Yes",2,0)+IF(OR(D317="1 venue",D317="2-6 venues"),1,0)+IF(OR(B317="Specialty coffee",B317="Brunch / cafe",B317="Dessert / bakery"),1,0)+IF(AND(N(H317)&gt;=4.3,N(I317)&gt;=50),1,0)+IF(AND(OR(M317&lt;&gt;"",N317&lt;&gt;""),O317&lt;&gt;""),1,0))</f>
        <v/>
      </c>
      <c r="S317" s="13">
        <f>IF(R317="","",IF(R317&gt;=6,"A",IF(R317&gt;=4,"B","C")))</f>
        <v/>
      </c>
      <c r="T317" s="10" t="n"/>
      <c r="U317" s="14" t="n"/>
      <c r="V317" s="10" t="n"/>
      <c r="W317" s="10" t="n"/>
    </row>
    <row r="318">
      <c r="A318" s="10" t="n"/>
      <c r="B318" s="10" t="n"/>
      <c r="C318" s="10" t="n"/>
      <c r="D318" s="10" t="n"/>
      <c r="E318" s="10" t="n"/>
      <c r="F318" s="11" t="n"/>
      <c r="G318" s="10" t="n"/>
      <c r="H318" s="12" t="n"/>
      <c r="I318" s="11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3">
        <f>IF(A318="","",IF(AND(N(F318)&gt;=3000,G318&lt;&gt;"Yes"),3,0)+IF(J318="Yes",2,0)+IF(OR(D318="1 venue",D318="2-6 venues"),1,0)+IF(OR(B318="Specialty coffee",B318="Brunch / cafe",B318="Dessert / bakery"),1,0)+IF(AND(N(H318)&gt;=4.3,N(I318)&gt;=50),1,0)+IF(AND(OR(M318&lt;&gt;"",N318&lt;&gt;""),O318&lt;&gt;""),1,0))</f>
        <v/>
      </c>
      <c r="S318" s="13">
        <f>IF(R318="","",IF(R318&gt;=6,"A",IF(R318&gt;=4,"B","C")))</f>
        <v/>
      </c>
      <c r="T318" s="10" t="n"/>
      <c r="U318" s="14" t="n"/>
      <c r="V318" s="10" t="n"/>
      <c r="W318" s="10" t="n"/>
    </row>
    <row r="319">
      <c r="A319" s="10" t="n"/>
      <c r="B319" s="10" t="n"/>
      <c r="C319" s="10" t="n"/>
      <c r="D319" s="10" t="n"/>
      <c r="E319" s="10" t="n"/>
      <c r="F319" s="11" t="n"/>
      <c r="G319" s="10" t="n"/>
      <c r="H319" s="12" t="n"/>
      <c r="I319" s="11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3">
        <f>IF(A319="","",IF(AND(N(F319)&gt;=3000,G319&lt;&gt;"Yes"),3,0)+IF(J319="Yes",2,0)+IF(OR(D319="1 venue",D319="2-6 venues"),1,0)+IF(OR(B319="Specialty coffee",B319="Brunch / cafe",B319="Dessert / bakery"),1,0)+IF(AND(N(H319)&gt;=4.3,N(I319)&gt;=50),1,0)+IF(AND(OR(M319&lt;&gt;"",N319&lt;&gt;""),O319&lt;&gt;""),1,0))</f>
        <v/>
      </c>
      <c r="S319" s="13">
        <f>IF(R319="","",IF(R319&gt;=6,"A",IF(R319&gt;=4,"B","C")))</f>
        <v/>
      </c>
      <c r="T319" s="10" t="n"/>
      <c r="U319" s="14" t="n"/>
      <c r="V319" s="10" t="n"/>
      <c r="W319" s="10" t="n"/>
    </row>
    <row r="320">
      <c r="A320" s="10" t="n"/>
      <c r="B320" s="10" t="n"/>
      <c r="C320" s="10" t="n"/>
      <c r="D320" s="10" t="n"/>
      <c r="E320" s="10" t="n"/>
      <c r="F320" s="11" t="n"/>
      <c r="G320" s="10" t="n"/>
      <c r="H320" s="12" t="n"/>
      <c r="I320" s="11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3">
        <f>IF(A320="","",IF(AND(N(F320)&gt;=3000,G320&lt;&gt;"Yes"),3,0)+IF(J320="Yes",2,0)+IF(OR(D320="1 venue",D320="2-6 venues"),1,0)+IF(OR(B320="Specialty coffee",B320="Brunch / cafe",B320="Dessert / bakery"),1,0)+IF(AND(N(H320)&gt;=4.3,N(I320)&gt;=50),1,0)+IF(AND(OR(M320&lt;&gt;"",N320&lt;&gt;""),O320&lt;&gt;""),1,0))</f>
        <v/>
      </c>
      <c r="S320" s="13">
        <f>IF(R320="","",IF(R320&gt;=6,"A",IF(R320&gt;=4,"B","C")))</f>
        <v/>
      </c>
      <c r="T320" s="10" t="n"/>
      <c r="U320" s="14" t="n"/>
      <c r="V320" s="10" t="n"/>
      <c r="W320" s="10" t="n"/>
    </row>
    <row r="321">
      <c r="A321" s="10" t="n"/>
      <c r="B321" s="10" t="n"/>
      <c r="C321" s="10" t="n"/>
      <c r="D321" s="10" t="n"/>
      <c r="E321" s="10" t="n"/>
      <c r="F321" s="11" t="n"/>
      <c r="G321" s="10" t="n"/>
      <c r="H321" s="12" t="n"/>
      <c r="I321" s="11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3">
        <f>IF(A321="","",IF(AND(N(F321)&gt;=3000,G321&lt;&gt;"Yes"),3,0)+IF(J321="Yes",2,0)+IF(OR(D321="1 venue",D321="2-6 venues"),1,0)+IF(OR(B321="Specialty coffee",B321="Brunch / cafe",B321="Dessert / bakery"),1,0)+IF(AND(N(H321)&gt;=4.3,N(I321)&gt;=50),1,0)+IF(AND(OR(M321&lt;&gt;"",N321&lt;&gt;""),O321&lt;&gt;""),1,0))</f>
        <v/>
      </c>
      <c r="S321" s="13">
        <f>IF(R321="","",IF(R321&gt;=6,"A",IF(R321&gt;=4,"B","C")))</f>
        <v/>
      </c>
      <c r="T321" s="10" t="n"/>
      <c r="U321" s="14" t="n"/>
      <c r="V321" s="10" t="n"/>
      <c r="W321" s="10" t="n"/>
    </row>
    <row r="322">
      <c r="A322" s="10" t="n"/>
      <c r="B322" s="10" t="n"/>
      <c r="C322" s="10" t="n"/>
      <c r="D322" s="10" t="n"/>
      <c r="E322" s="10" t="n"/>
      <c r="F322" s="11" t="n"/>
      <c r="G322" s="10" t="n"/>
      <c r="H322" s="12" t="n"/>
      <c r="I322" s="11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3">
        <f>IF(A322="","",IF(AND(N(F322)&gt;=3000,G322&lt;&gt;"Yes"),3,0)+IF(J322="Yes",2,0)+IF(OR(D322="1 venue",D322="2-6 venues"),1,0)+IF(OR(B322="Specialty coffee",B322="Brunch / cafe",B322="Dessert / bakery"),1,0)+IF(AND(N(H322)&gt;=4.3,N(I322)&gt;=50),1,0)+IF(AND(OR(M322&lt;&gt;"",N322&lt;&gt;""),O322&lt;&gt;""),1,0))</f>
        <v/>
      </c>
      <c r="S322" s="13">
        <f>IF(R322="","",IF(R322&gt;=6,"A",IF(R322&gt;=4,"B","C")))</f>
        <v/>
      </c>
      <c r="T322" s="10" t="n"/>
      <c r="U322" s="14" t="n"/>
      <c r="V322" s="10" t="n"/>
      <c r="W322" s="10" t="n"/>
    </row>
    <row r="323">
      <c r="A323" s="10" t="n"/>
      <c r="B323" s="10" t="n"/>
      <c r="C323" s="10" t="n"/>
      <c r="D323" s="10" t="n"/>
      <c r="E323" s="10" t="n"/>
      <c r="F323" s="11" t="n"/>
      <c r="G323" s="10" t="n"/>
      <c r="H323" s="12" t="n"/>
      <c r="I323" s="11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3">
        <f>IF(A323="","",IF(AND(N(F323)&gt;=3000,G323&lt;&gt;"Yes"),3,0)+IF(J323="Yes",2,0)+IF(OR(D323="1 venue",D323="2-6 venues"),1,0)+IF(OR(B323="Specialty coffee",B323="Brunch / cafe",B323="Dessert / bakery"),1,0)+IF(AND(N(H323)&gt;=4.3,N(I323)&gt;=50),1,0)+IF(AND(OR(M323&lt;&gt;"",N323&lt;&gt;""),O323&lt;&gt;""),1,0))</f>
        <v/>
      </c>
      <c r="S323" s="13">
        <f>IF(R323="","",IF(R323&gt;=6,"A",IF(R323&gt;=4,"B","C")))</f>
        <v/>
      </c>
      <c r="T323" s="10" t="n"/>
      <c r="U323" s="14" t="n"/>
      <c r="V323" s="10" t="n"/>
      <c r="W323" s="10" t="n"/>
    </row>
    <row r="324">
      <c r="A324" s="10" t="n"/>
      <c r="B324" s="10" t="n"/>
      <c r="C324" s="10" t="n"/>
      <c r="D324" s="10" t="n"/>
      <c r="E324" s="10" t="n"/>
      <c r="F324" s="11" t="n"/>
      <c r="G324" s="10" t="n"/>
      <c r="H324" s="12" t="n"/>
      <c r="I324" s="11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3">
        <f>IF(A324="","",IF(AND(N(F324)&gt;=3000,G324&lt;&gt;"Yes"),3,0)+IF(J324="Yes",2,0)+IF(OR(D324="1 venue",D324="2-6 venues"),1,0)+IF(OR(B324="Specialty coffee",B324="Brunch / cafe",B324="Dessert / bakery"),1,0)+IF(AND(N(H324)&gt;=4.3,N(I324)&gt;=50),1,0)+IF(AND(OR(M324&lt;&gt;"",N324&lt;&gt;""),O324&lt;&gt;""),1,0))</f>
        <v/>
      </c>
      <c r="S324" s="13">
        <f>IF(R324="","",IF(R324&gt;=6,"A",IF(R324&gt;=4,"B","C")))</f>
        <v/>
      </c>
      <c r="T324" s="10" t="n"/>
      <c r="U324" s="14" t="n"/>
      <c r="V324" s="10" t="n"/>
      <c r="W324" s="10" t="n"/>
    </row>
    <row r="325">
      <c r="A325" s="10" t="n"/>
      <c r="B325" s="10" t="n"/>
      <c r="C325" s="10" t="n"/>
      <c r="D325" s="10" t="n"/>
      <c r="E325" s="10" t="n"/>
      <c r="F325" s="11" t="n"/>
      <c r="G325" s="10" t="n"/>
      <c r="H325" s="12" t="n"/>
      <c r="I325" s="11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3">
        <f>IF(A325="","",IF(AND(N(F325)&gt;=3000,G325&lt;&gt;"Yes"),3,0)+IF(J325="Yes",2,0)+IF(OR(D325="1 venue",D325="2-6 venues"),1,0)+IF(OR(B325="Specialty coffee",B325="Brunch / cafe",B325="Dessert / bakery"),1,0)+IF(AND(N(H325)&gt;=4.3,N(I325)&gt;=50),1,0)+IF(AND(OR(M325&lt;&gt;"",N325&lt;&gt;""),O325&lt;&gt;""),1,0))</f>
        <v/>
      </c>
      <c r="S325" s="13">
        <f>IF(R325="","",IF(R325&gt;=6,"A",IF(R325&gt;=4,"B","C")))</f>
        <v/>
      </c>
      <c r="T325" s="10" t="n"/>
      <c r="U325" s="14" t="n"/>
      <c r="V325" s="10" t="n"/>
      <c r="W325" s="10" t="n"/>
    </row>
    <row r="326">
      <c r="A326" s="10" t="n"/>
      <c r="B326" s="10" t="n"/>
      <c r="C326" s="10" t="n"/>
      <c r="D326" s="10" t="n"/>
      <c r="E326" s="10" t="n"/>
      <c r="F326" s="11" t="n"/>
      <c r="G326" s="10" t="n"/>
      <c r="H326" s="12" t="n"/>
      <c r="I326" s="11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3">
        <f>IF(A326="","",IF(AND(N(F326)&gt;=3000,G326&lt;&gt;"Yes"),3,0)+IF(J326="Yes",2,0)+IF(OR(D326="1 venue",D326="2-6 venues"),1,0)+IF(OR(B326="Specialty coffee",B326="Brunch / cafe",B326="Dessert / bakery"),1,0)+IF(AND(N(H326)&gt;=4.3,N(I326)&gt;=50),1,0)+IF(AND(OR(M326&lt;&gt;"",N326&lt;&gt;""),O326&lt;&gt;""),1,0))</f>
        <v/>
      </c>
      <c r="S326" s="13">
        <f>IF(R326="","",IF(R326&gt;=6,"A",IF(R326&gt;=4,"B","C")))</f>
        <v/>
      </c>
      <c r="T326" s="10" t="n"/>
      <c r="U326" s="14" t="n"/>
      <c r="V326" s="10" t="n"/>
      <c r="W326" s="10" t="n"/>
    </row>
    <row r="327">
      <c r="A327" s="10" t="n"/>
      <c r="B327" s="10" t="n"/>
      <c r="C327" s="10" t="n"/>
      <c r="D327" s="10" t="n"/>
      <c r="E327" s="10" t="n"/>
      <c r="F327" s="11" t="n"/>
      <c r="G327" s="10" t="n"/>
      <c r="H327" s="12" t="n"/>
      <c r="I327" s="11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3">
        <f>IF(A327="","",IF(AND(N(F327)&gt;=3000,G327&lt;&gt;"Yes"),3,0)+IF(J327="Yes",2,0)+IF(OR(D327="1 venue",D327="2-6 venues"),1,0)+IF(OR(B327="Specialty coffee",B327="Brunch / cafe",B327="Dessert / bakery"),1,0)+IF(AND(N(H327)&gt;=4.3,N(I327)&gt;=50),1,0)+IF(AND(OR(M327&lt;&gt;"",N327&lt;&gt;""),O327&lt;&gt;""),1,0))</f>
        <v/>
      </c>
      <c r="S327" s="13">
        <f>IF(R327="","",IF(R327&gt;=6,"A",IF(R327&gt;=4,"B","C")))</f>
        <v/>
      </c>
      <c r="T327" s="10" t="n"/>
      <c r="U327" s="14" t="n"/>
      <c r="V327" s="10" t="n"/>
      <c r="W327" s="10" t="n"/>
    </row>
    <row r="328">
      <c r="A328" s="10" t="n"/>
      <c r="B328" s="10" t="n"/>
      <c r="C328" s="10" t="n"/>
      <c r="D328" s="10" t="n"/>
      <c r="E328" s="10" t="n"/>
      <c r="F328" s="11" t="n"/>
      <c r="G328" s="10" t="n"/>
      <c r="H328" s="12" t="n"/>
      <c r="I328" s="11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3">
        <f>IF(A328="","",IF(AND(N(F328)&gt;=3000,G328&lt;&gt;"Yes"),3,0)+IF(J328="Yes",2,0)+IF(OR(D328="1 venue",D328="2-6 venues"),1,0)+IF(OR(B328="Specialty coffee",B328="Brunch / cafe",B328="Dessert / bakery"),1,0)+IF(AND(N(H328)&gt;=4.3,N(I328)&gt;=50),1,0)+IF(AND(OR(M328&lt;&gt;"",N328&lt;&gt;""),O328&lt;&gt;""),1,0))</f>
        <v/>
      </c>
      <c r="S328" s="13">
        <f>IF(R328="","",IF(R328&gt;=6,"A",IF(R328&gt;=4,"B","C")))</f>
        <v/>
      </c>
      <c r="T328" s="10" t="n"/>
      <c r="U328" s="14" t="n"/>
      <c r="V328" s="10" t="n"/>
      <c r="W328" s="10" t="n"/>
    </row>
    <row r="329">
      <c r="A329" s="10" t="n"/>
      <c r="B329" s="10" t="n"/>
      <c r="C329" s="10" t="n"/>
      <c r="D329" s="10" t="n"/>
      <c r="E329" s="10" t="n"/>
      <c r="F329" s="11" t="n"/>
      <c r="G329" s="10" t="n"/>
      <c r="H329" s="12" t="n"/>
      <c r="I329" s="11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3">
        <f>IF(A329="","",IF(AND(N(F329)&gt;=3000,G329&lt;&gt;"Yes"),3,0)+IF(J329="Yes",2,0)+IF(OR(D329="1 venue",D329="2-6 venues"),1,0)+IF(OR(B329="Specialty coffee",B329="Brunch / cafe",B329="Dessert / bakery"),1,0)+IF(AND(N(H329)&gt;=4.3,N(I329)&gt;=50),1,0)+IF(AND(OR(M329&lt;&gt;"",N329&lt;&gt;""),O329&lt;&gt;""),1,0))</f>
        <v/>
      </c>
      <c r="S329" s="13">
        <f>IF(R329="","",IF(R329&gt;=6,"A",IF(R329&gt;=4,"B","C")))</f>
        <v/>
      </c>
      <c r="T329" s="10" t="n"/>
      <c r="U329" s="14" t="n"/>
      <c r="V329" s="10" t="n"/>
      <c r="W329" s="10" t="n"/>
    </row>
    <row r="330">
      <c r="A330" s="10" t="n"/>
      <c r="B330" s="10" t="n"/>
      <c r="C330" s="10" t="n"/>
      <c r="D330" s="10" t="n"/>
      <c r="E330" s="10" t="n"/>
      <c r="F330" s="11" t="n"/>
      <c r="G330" s="10" t="n"/>
      <c r="H330" s="12" t="n"/>
      <c r="I330" s="11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3">
        <f>IF(A330="","",IF(AND(N(F330)&gt;=3000,G330&lt;&gt;"Yes"),3,0)+IF(J330="Yes",2,0)+IF(OR(D330="1 venue",D330="2-6 venues"),1,0)+IF(OR(B330="Specialty coffee",B330="Brunch / cafe",B330="Dessert / bakery"),1,0)+IF(AND(N(H330)&gt;=4.3,N(I330)&gt;=50),1,0)+IF(AND(OR(M330&lt;&gt;"",N330&lt;&gt;""),O330&lt;&gt;""),1,0))</f>
        <v/>
      </c>
      <c r="S330" s="13">
        <f>IF(R330="","",IF(R330&gt;=6,"A",IF(R330&gt;=4,"B","C")))</f>
        <v/>
      </c>
      <c r="T330" s="10" t="n"/>
      <c r="U330" s="14" t="n"/>
      <c r="V330" s="10" t="n"/>
      <c r="W330" s="10" t="n"/>
    </row>
    <row r="331">
      <c r="A331" s="10" t="n"/>
      <c r="B331" s="10" t="n"/>
      <c r="C331" s="10" t="n"/>
      <c r="D331" s="10" t="n"/>
      <c r="E331" s="10" t="n"/>
      <c r="F331" s="11" t="n"/>
      <c r="G331" s="10" t="n"/>
      <c r="H331" s="12" t="n"/>
      <c r="I331" s="11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3">
        <f>IF(A331="","",IF(AND(N(F331)&gt;=3000,G331&lt;&gt;"Yes"),3,0)+IF(J331="Yes",2,0)+IF(OR(D331="1 venue",D331="2-6 venues"),1,0)+IF(OR(B331="Specialty coffee",B331="Brunch / cafe",B331="Dessert / bakery"),1,0)+IF(AND(N(H331)&gt;=4.3,N(I331)&gt;=50),1,0)+IF(AND(OR(M331&lt;&gt;"",N331&lt;&gt;""),O331&lt;&gt;""),1,0))</f>
        <v/>
      </c>
      <c r="S331" s="13">
        <f>IF(R331="","",IF(R331&gt;=6,"A",IF(R331&gt;=4,"B","C")))</f>
        <v/>
      </c>
      <c r="T331" s="10" t="n"/>
      <c r="U331" s="14" t="n"/>
      <c r="V331" s="10" t="n"/>
      <c r="W331" s="10" t="n"/>
    </row>
    <row r="332">
      <c r="A332" s="10" t="n"/>
      <c r="B332" s="10" t="n"/>
      <c r="C332" s="10" t="n"/>
      <c r="D332" s="10" t="n"/>
      <c r="E332" s="10" t="n"/>
      <c r="F332" s="11" t="n"/>
      <c r="G332" s="10" t="n"/>
      <c r="H332" s="12" t="n"/>
      <c r="I332" s="11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3">
        <f>IF(A332="","",IF(AND(N(F332)&gt;=3000,G332&lt;&gt;"Yes"),3,0)+IF(J332="Yes",2,0)+IF(OR(D332="1 venue",D332="2-6 venues"),1,0)+IF(OR(B332="Specialty coffee",B332="Brunch / cafe",B332="Dessert / bakery"),1,0)+IF(AND(N(H332)&gt;=4.3,N(I332)&gt;=50),1,0)+IF(AND(OR(M332&lt;&gt;"",N332&lt;&gt;""),O332&lt;&gt;""),1,0))</f>
        <v/>
      </c>
      <c r="S332" s="13">
        <f>IF(R332="","",IF(R332&gt;=6,"A",IF(R332&gt;=4,"B","C")))</f>
        <v/>
      </c>
      <c r="T332" s="10" t="n"/>
      <c r="U332" s="14" t="n"/>
      <c r="V332" s="10" t="n"/>
      <c r="W332" s="10" t="n"/>
    </row>
    <row r="333">
      <c r="A333" s="10" t="n"/>
      <c r="B333" s="10" t="n"/>
      <c r="C333" s="10" t="n"/>
      <c r="D333" s="10" t="n"/>
      <c r="E333" s="10" t="n"/>
      <c r="F333" s="11" t="n"/>
      <c r="G333" s="10" t="n"/>
      <c r="H333" s="12" t="n"/>
      <c r="I333" s="11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3">
        <f>IF(A333="","",IF(AND(N(F333)&gt;=3000,G333&lt;&gt;"Yes"),3,0)+IF(J333="Yes",2,0)+IF(OR(D333="1 venue",D333="2-6 venues"),1,0)+IF(OR(B333="Specialty coffee",B333="Brunch / cafe",B333="Dessert / bakery"),1,0)+IF(AND(N(H333)&gt;=4.3,N(I333)&gt;=50),1,0)+IF(AND(OR(M333&lt;&gt;"",N333&lt;&gt;""),O333&lt;&gt;""),1,0))</f>
        <v/>
      </c>
      <c r="S333" s="13">
        <f>IF(R333="","",IF(R333&gt;=6,"A",IF(R333&gt;=4,"B","C")))</f>
        <v/>
      </c>
      <c r="T333" s="10" t="n"/>
      <c r="U333" s="14" t="n"/>
      <c r="V333" s="10" t="n"/>
      <c r="W333" s="10" t="n"/>
    </row>
    <row r="334">
      <c r="A334" s="10" t="n"/>
      <c r="B334" s="10" t="n"/>
      <c r="C334" s="10" t="n"/>
      <c r="D334" s="10" t="n"/>
      <c r="E334" s="10" t="n"/>
      <c r="F334" s="11" t="n"/>
      <c r="G334" s="10" t="n"/>
      <c r="H334" s="12" t="n"/>
      <c r="I334" s="11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3">
        <f>IF(A334="","",IF(AND(N(F334)&gt;=3000,G334&lt;&gt;"Yes"),3,0)+IF(J334="Yes",2,0)+IF(OR(D334="1 venue",D334="2-6 venues"),1,0)+IF(OR(B334="Specialty coffee",B334="Brunch / cafe",B334="Dessert / bakery"),1,0)+IF(AND(N(H334)&gt;=4.3,N(I334)&gt;=50),1,0)+IF(AND(OR(M334&lt;&gt;"",N334&lt;&gt;""),O334&lt;&gt;""),1,0))</f>
        <v/>
      </c>
      <c r="S334" s="13">
        <f>IF(R334="","",IF(R334&gt;=6,"A",IF(R334&gt;=4,"B","C")))</f>
        <v/>
      </c>
      <c r="T334" s="10" t="n"/>
      <c r="U334" s="14" t="n"/>
      <c r="V334" s="10" t="n"/>
      <c r="W334" s="10" t="n"/>
    </row>
    <row r="335">
      <c r="A335" s="10" t="n"/>
      <c r="B335" s="10" t="n"/>
      <c r="C335" s="10" t="n"/>
      <c r="D335" s="10" t="n"/>
      <c r="E335" s="10" t="n"/>
      <c r="F335" s="11" t="n"/>
      <c r="G335" s="10" t="n"/>
      <c r="H335" s="12" t="n"/>
      <c r="I335" s="11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3">
        <f>IF(A335="","",IF(AND(N(F335)&gt;=3000,G335&lt;&gt;"Yes"),3,0)+IF(J335="Yes",2,0)+IF(OR(D335="1 venue",D335="2-6 venues"),1,0)+IF(OR(B335="Specialty coffee",B335="Brunch / cafe",B335="Dessert / bakery"),1,0)+IF(AND(N(H335)&gt;=4.3,N(I335)&gt;=50),1,0)+IF(AND(OR(M335&lt;&gt;"",N335&lt;&gt;""),O335&lt;&gt;""),1,0))</f>
        <v/>
      </c>
      <c r="S335" s="13">
        <f>IF(R335="","",IF(R335&gt;=6,"A",IF(R335&gt;=4,"B","C")))</f>
        <v/>
      </c>
      <c r="T335" s="10" t="n"/>
      <c r="U335" s="14" t="n"/>
      <c r="V335" s="10" t="n"/>
      <c r="W335" s="10" t="n"/>
    </row>
    <row r="336">
      <c r="A336" s="10" t="n"/>
      <c r="B336" s="10" t="n"/>
      <c r="C336" s="10" t="n"/>
      <c r="D336" s="10" t="n"/>
      <c r="E336" s="10" t="n"/>
      <c r="F336" s="11" t="n"/>
      <c r="G336" s="10" t="n"/>
      <c r="H336" s="12" t="n"/>
      <c r="I336" s="11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3">
        <f>IF(A336="","",IF(AND(N(F336)&gt;=3000,G336&lt;&gt;"Yes"),3,0)+IF(J336="Yes",2,0)+IF(OR(D336="1 venue",D336="2-6 venues"),1,0)+IF(OR(B336="Specialty coffee",B336="Brunch / cafe",B336="Dessert / bakery"),1,0)+IF(AND(N(H336)&gt;=4.3,N(I336)&gt;=50),1,0)+IF(AND(OR(M336&lt;&gt;"",N336&lt;&gt;""),O336&lt;&gt;""),1,0))</f>
        <v/>
      </c>
      <c r="S336" s="13">
        <f>IF(R336="","",IF(R336&gt;=6,"A",IF(R336&gt;=4,"B","C")))</f>
        <v/>
      </c>
      <c r="T336" s="10" t="n"/>
      <c r="U336" s="14" t="n"/>
      <c r="V336" s="10" t="n"/>
      <c r="W336" s="10" t="n"/>
    </row>
    <row r="337">
      <c r="A337" s="10" t="n"/>
      <c r="B337" s="10" t="n"/>
      <c r="C337" s="10" t="n"/>
      <c r="D337" s="10" t="n"/>
      <c r="E337" s="10" t="n"/>
      <c r="F337" s="11" t="n"/>
      <c r="G337" s="10" t="n"/>
      <c r="H337" s="12" t="n"/>
      <c r="I337" s="11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3">
        <f>IF(A337="","",IF(AND(N(F337)&gt;=3000,G337&lt;&gt;"Yes"),3,0)+IF(J337="Yes",2,0)+IF(OR(D337="1 venue",D337="2-6 venues"),1,0)+IF(OR(B337="Specialty coffee",B337="Brunch / cafe",B337="Dessert / bakery"),1,0)+IF(AND(N(H337)&gt;=4.3,N(I337)&gt;=50),1,0)+IF(AND(OR(M337&lt;&gt;"",N337&lt;&gt;""),O337&lt;&gt;""),1,0))</f>
        <v/>
      </c>
      <c r="S337" s="13">
        <f>IF(R337="","",IF(R337&gt;=6,"A",IF(R337&gt;=4,"B","C")))</f>
        <v/>
      </c>
      <c r="T337" s="10" t="n"/>
      <c r="U337" s="14" t="n"/>
      <c r="V337" s="10" t="n"/>
      <c r="W337" s="10" t="n"/>
    </row>
    <row r="338">
      <c r="A338" s="10" t="n"/>
      <c r="B338" s="10" t="n"/>
      <c r="C338" s="10" t="n"/>
      <c r="D338" s="10" t="n"/>
      <c r="E338" s="10" t="n"/>
      <c r="F338" s="11" t="n"/>
      <c r="G338" s="10" t="n"/>
      <c r="H338" s="12" t="n"/>
      <c r="I338" s="11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3">
        <f>IF(A338="","",IF(AND(N(F338)&gt;=3000,G338&lt;&gt;"Yes"),3,0)+IF(J338="Yes",2,0)+IF(OR(D338="1 venue",D338="2-6 venues"),1,0)+IF(OR(B338="Specialty coffee",B338="Brunch / cafe",B338="Dessert / bakery"),1,0)+IF(AND(N(H338)&gt;=4.3,N(I338)&gt;=50),1,0)+IF(AND(OR(M338&lt;&gt;"",N338&lt;&gt;""),O338&lt;&gt;""),1,0))</f>
        <v/>
      </c>
      <c r="S338" s="13">
        <f>IF(R338="","",IF(R338&gt;=6,"A",IF(R338&gt;=4,"B","C")))</f>
        <v/>
      </c>
      <c r="T338" s="10" t="n"/>
      <c r="U338" s="14" t="n"/>
      <c r="V338" s="10" t="n"/>
      <c r="W338" s="10" t="n"/>
    </row>
    <row r="339">
      <c r="A339" s="10" t="n"/>
      <c r="B339" s="10" t="n"/>
      <c r="C339" s="10" t="n"/>
      <c r="D339" s="10" t="n"/>
      <c r="E339" s="10" t="n"/>
      <c r="F339" s="11" t="n"/>
      <c r="G339" s="10" t="n"/>
      <c r="H339" s="12" t="n"/>
      <c r="I339" s="11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3">
        <f>IF(A339="","",IF(AND(N(F339)&gt;=3000,G339&lt;&gt;"Yes"),3,0)+IF(J339="Yes",2,0)+IF(OR(D339="1 venue",D339="2-6 venues"),1,0)+IF(OR(B339="Specialty coffee",B339="Brunch / cafe",B339="Dessert / bakery"),1,0)+IF(AND(N(H339)&gt;=4.3,N(I339)&gt;=50),1,0)+IF(AND(OR(M339&lt;&gt;"",N339&lt;&gt;""),O339&lt;&gt;""),1,0))</f>
        <v/>
      </c>
      <c r="S339" s="13">
        <f>IF(R339="","",IF(R339&gt;=6,"A",IF(R339&gt;=4,"B","C")))</f>
        <v/>
      </c>
      <c r="T339" s="10" t="n"/>
      <c r="U339" s="14" t="n"/>
      <c r="V339" s="10" t="n"/>
      <c r="W339" s="10" t="n"/>
    </row>
    <row r="340">
      <c r="A340" s="10" t="n"/>
      <c r="B340" s="10" t="n"/>
      <c r="C340" s="10" t="n"/>
      <c r="D340" s="10" t="n"/>
      <c r="E340" s="10" t="n"/>
      <c r="F340" s="11" t="n"/>
      <c r="G340" s="10" t="n"/>
      <c r="H340" s="12" t="n"/>
      <c r="I340" s="11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3">
        <f>IF(A340="","",IF(AND(N(F340)&gt;=3000,G340&lt;&gt;"Yes"),3,0)+IF(J340="Yes",2,0)+IF(OR(D340="1 venue",D340="2-6 venues"),1,0)+IF(OR(B340="Specialty coffee",B340="Brunch / cafe",B340="Dessert / bakery"),1,0)+IF(AND(N(H340)&gt;=4.3,N(I340)&gt;=50),1,0)+IF(AND(OR(M340&lt;&gt;"",N340&lt;&gt;""),O340&lt;&gt;""),1,0))</f>
        <v/>
      </c>
      <c r="S340" s="13">
        <f>IF(R340="","",IF(R340&gt;=6,"A",IF(R340&gt;=4,"B","C")))</f>
        <v/>
      </c>
      <c r="T340" s="10" t="n"/>
      <c r="U340" s="14" t="n"/>
      <c r="V340" s="10" t="n"/>
      <c r="W340" s="10" t="n"/>
    </row>
    <row r="341">
      <c r="A341" s="10" t="n"/>
      <c r="B341" s="10" t="n"/>
      <c r="C341" s="10" t="n"/>
      <c r="D341" s="10" t="n"/>
      <c r="E341" s="10" t="n"/>
      <c r="F341" s="11" t="n"/>
      <c r="G341" s="10" t="n"/>
      <c r="H341" s="12" t="n"/>
      <c r="I341" s="11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3">
        <f>IF(A341="","",IF(AND(N(F341)&gt;=3000,G341&lt;&gt;"Yes"),3,0)+IF(J341="Yes",2,0)+IF(OR(D341="1 venue",D341="2-6 venues"),1,0)+IF(OR(B341="Specialty coffee",B341="Brunch / cafe",B341="Dessert / bakery"),1,0)+IF(AND(N(H341)&gt;=4.3,N(I341)&gt;=50),1,0)+IF(AND(OR(M341&lt;&gt;"",N341&lt;&gt;""),O341&lt;&gt;""),1,0))</f>
        <v/>
      </c>
      <c r="S341" s="13">
        <f>IF(R341="","",IF(R341&gt;=6,"A",IF(R341&gt;=4,"B","C")))</f>
        <v/>
      </c>
      <c r="T341" s="10" t="n"/>
      <c r="U341" s="14" t="n"/>
      <c r="V341" s="10" t="n"/>
      <c r="W341" s="10" t="n"/>
    </row>
    <row r="342">
      <c r="A342" s="10" t="n"/>
      <c r="B342" s="10" t="n"/>
      <c r="C342" s="10" t="n"/>
      <c r="D342" s="10" t="n"/>
      <c r="E342" s="10" t="n"/>
      <c r="F342" s="11" t="n"/>
      <c r="G342" s="10" t="n"/>
      <c r="H342" s="12" t="n"/>
      <c r="I342" s="11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3">
        <f>IF(A342="","",IF(AND(N(F342)&gt;=3000,G342&lt;&gt;"Yes"),3,0)+IF(J342="Yes",2,0)+IF(OR(D342="1 venue",D342="2-6 venues"),1,0)+IF(OR(B342="Specialty coffee",B342="Brunch / cafe",B342="Dessert / bakery"),1,0)+IF(AND(N(H342)&gt;=4.3,N(I342)&gt;=50),1,0)+IF(AND(OR(M342&lt;&gt;"",N342&lt;&gt;""),O342&lt;&gt;""),1,0))</f>
        <v/>
      </c>
      <c r="S342" s="13">
        <f>IF(R342="","",IF(R342&gt;=6,"A",IF(R342&gt;=4,"B","C")))</f>
        <v/>
      </c>
      <c r="T342" s="10" t="n"/>
      <c r="U342" s="14" t="n"/>
      <c r="V342" s="10" t="n"/>
      <c r="W342" s="10" t="n"/>
    </row>
    <row r="343">
      <c r="A343" s="10" t="n"/>
      <c r="B343" s="10" t="n"/>
      <c r="C343" s="10" t="n"/>
      <c r="D343" s="10" t="n"/>
      <c r="E343" s="10" t="n"/>
      <c r="F343" s="11" t="n"/>
      <c r="G343" s="10" t="n"/>
      <c r="H343" s="12" t="n"/>
      <c r="I343" s="11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3">
        <f>IF(A343="","",IF(AND(N(F343)&gt;=3000,G343&lt;&gt;"Yes"),3,0)+IF(J343="Yes",2,0)+IF(OR(D343="1 venue",D343="2-6 venues"),1,0)+IF(OR(B343="Specialty coffee",B343="Brunch / cafe",B343="Dessert / bakery"),1,0)+IF(AND(N(H343)&gt;=4.3,N(I343)&gt;=50),1,0)+IF(AND(OR(M343&lt;&gt;"",N343&lt;&gt;""),O343&lt;&gt;""),1,0))</f>
        <v/>
      </c>
      <c r="S343" s="13">
        <f>IF(R343="","",IF(R343&gt;=6,"A",IF(R343&gt;=4,"B","C")))</f>
        <v/>
      </c>
      <c r="T343" s="10" t="n"/>
      <c r="U343" s="14" t="n"/>
      <c r="V343" s="10" t="n"/>
      <c r="W343" s="10" t="n"/>
    </row>
    <row r="344">
      <c r="A344" s="10" t="n"/>
      <c r="B344" s="10" t="n"/>
      <c r="C344" s="10" t="n"/>
      <c r="D344" s="10" t="n"/>
      <c r="E344" s="10" t="n"/>
      <c r="F344" s="11" t="n"/>
      <c r="G344" s="10" t="n"/>
      <c r="H344" s="12" t="n"/>
      <c r="I344" s="11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3">
        <f>IF(A344="","",IF(AND(N(F344)&gt;=3000,G344&lt;&gt;"Yes"),3,0)+IF(J344="Yes",2,0)+IF(OR(D344="1 venue",D344="2-6 venues"),1,0)+IF(OR(B344="Specialty coffee",B344="Brunch / cafe",B344="Dessert / bakery"),1,0)+IF(AND(N(H344)&gt;=4.3,N(I344)&gt;=50),1,0)+IF(AND(OR(M344&lt;&gt;"",N344&lt;&gt;""),O344&lt;&gt;""),1,0))</f>
        <v/>
      </c>
      <c r="S344" s="13">
        <f>IF(R344="","",IF(R344&gt;=6,"A",IF(R344&gt;=4,"B","C")))</f>
        <v/>
      </c>
      <c r="T344" s="10" t="n"/>
      <c r="U344" s="14" t="n"/>
      <c r="V344" s="10" t="n"/>
      <c r="W344" s="10" t="n"/>
    </row>
    <row r="345">
      <c r="A345" s="10" t="n"/>
      <c r="B345" s="10" t="n"/>
      <c r="C345" s="10" t="n"/>
      <c r="D345" s="10" t="n"/>
      <c r="E345" s="10" t="n"/>
      <c r="F345" s="11" t="n"/>
      <c r="G345" s="10" t="n"/>
      <c r="H345" s="12" t="n"/>
      <c r="I345" s="11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3">
        <f>IF(A345="","",IF(AND(N(F345)&gt;=3000,G345&lt;&gt;"Yes"),3,0)+IF(J345="Yes",2,0)+IF(OR(D345="1 venue",D345="2-6 venues"),1,0)+IF(OR(B345="Specialty coffee",B345="Brunch / cafe",B345="Dessert / bakery"),1,0)+IF(AND(N(H345)&gt;=4.3,N(I345)&gt;=50),1,0)+IF(AND(OR(M345&lt;&gt;"",N345&lt;&gt;""),O345&lt;&gt;""),1,0))</f>
        <v/>
      </c>
      <c r="S345" s="13">
        <f>IF(R345="","",IF(R345&gt;=6,"A",IF(R345&gt;=4,"B","C")))</f>
        <v/>
      </c>
      <c r="T345" s="10" t="n"/>
      <c r="U345" s="14" t="n"/>
      <c r="V345" s="10" t="n"/>
      <c r="W345" s="10" t="n"/>
    </row>
    <row r="346">
      <c r="A346" s="10" t="n"/>
      <c r="B346" s="10" t="n"/>
      <c r="C346" s="10" t="n"/>
      <c r="D346" s="10" t="n"/>
      <c r="E346" s="10" t="n"/>
      <c r="F346" s="11" t="n"/>
      <c r="G346" s="10" t="n"/>
      <c r="H346" s="12" t="n"/>
      <c r="I346" s="11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3">
        <f>IF(A346="","",IF(AND(N(F346)&gt;=3000,G346&lt;&gt;"Yes"),3,0)+IF(J346="Yes",2,0)+IF(OR(D346="1 venue",D346="2-6 venues"),1,0)+IF(OR(B346="Specialty coffee",B346="Brunch / cafe",B346="Dessert / bakery"),1,0)+IF(AND(N(H346)&gt;=4.3,N(I346)&gt;=50),1,0)+IF(AND(OR(M346&lt;&gt;"",N346&lt;&gt;""),O346&lt;&gt;""),1,0))</f>
        <v/>
      </c>
      <c r="S346" s="13">
        <f>IF(R346="","",IF(R346&gt;=6,"A",IF(R346&gt;=4,"B","C")))</f>
        <v/>
      </c>
      <c r="T346" s="10" t="n"/>
      <c r="U346" s="14" t="n"/>
      <c r="V346" s="10" t="n"/>
      <c r="W346" s="10" t="n"/>
    </row>
    <row r="347">
      <c r="A347" s="10" t="n"/>
      <c r="B347" s="10" t="n"/>
      <c r="C347" s="10" t="n"/>
      <c r="D347" s="10" t="n"/>
      <c r="E347" s="10" t="n"/>
      <c r="F347" s="11" t="n"/>
      <c r="G347" s="10" t="n"/>
      <c r="H347" s="12" t="n"/>
      <c r="I347" s="11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3">
        <f>IF(A347="","",IF(AND(N(F347)&gt;=3000,G347&lt;&gt;"Yes"),3,0)+IF(J347="Yes",2,0)+IF(OR(D347="1 venue",D347="2-6 venues"),1,0)+IF(OR(B347="Specialty coffee",B347="Brunch / cafe",B347="Dessert / bakery"),1,0)+IF(AND(N(H347)&gt;=4.3,N(I347)&gt;=50),1,0)+IF(AND(OR(M347&lt;&gt;"",N347&lt;&gt;""),O347&lt;&gt;""),1,0))</f>
        <v/>
      </c>
      <c r="S347" s="13">
        <f>IF(R347="","",IF(R347&gt;=6,"A",IF(R347&gt;=4,"B","C")))</f>
        <v/>
      </c>
      <c r="T347" s="10" t="n"/>
      <c r="U347" s="14" t="n"/>
      <c r="V347" s="10" t="n"/>
      <c r="W347" s="10" t="n"/>
    </row>
    <row r="348">
      <c r="A348" s="10" t="n"/>
      <c r="B348" s="10" t="n"/>
      <c r="C348" s="10" t="n"/>
      <c r="D348" s="10" t="n"/>
      <c r="E348" s="10" t="n"/>
      <c r="F348" s="11" t="n"/>
      <c r="G348" s="10" t="n"/>
      <c r="H348" s="12" t="n"/>
      <c r="I348" s="11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3">
        <f>IF(A348="","",IF(AND(N(F348)&gt;=3000,G348&lt;&gt;"Yes"),3,0)+IF(J348="Yes",2,0)+IF(OR(D348="1 venue",D348="2-6 venues"),1,0)+IF(OR(B348="Specialty coffee",B348="Brunch / cafe",B348="Dessert / bakery"),1,0)+IF(AND(N(H348)&gt;=4.3,N(I348)&gt;=50),1,0)+IF(AND(OR(M348&lt;&gt;"",N348&lt;&gt;""),O348&lt;&gt;""),1,0))</f>
        <v/>
      </c>
      <c r="S348" s="13">
        <f>IF(R348="","",IF(R348&gt;=6,"A",IF(R348&gt;=4,"B","C")))</f>
        <v/>
      </c>
      <c r="T348" s="10" t="n"/>
      <c r="U348" s="14" t="n"/>
      <c r="V348" s="10" t="n"/>
      <c r="W348" s="10" t="n"/>
    </row>
    <row r="349">
      <c r="A349" s="10" t="n"/>
      <c r="B349" s="10" t="n"/>
      <c r="C349" s="10" t="n"/>
      <c r="D349" s="10" t="n"/>
      <c r="E349" s="10" t="n"/>
      <c r="F349" s="11" t="n"/>
      <c r="G349" s="10" t="n"/>
      <c r="H349" s="12" t="n"/>
      <c r="I349" s="11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3">
        <f>IF(A349="","",IF(AND(N(F349)&gt;=3000,G349&lt;&gt;"Yes"),3,0)+IF(J349="Yes",2,0)+IF(OR(D349="1 venue",D349="2-6 venues"),1,0)+IF(OR(B349="Specialty coffee",B349="Brunch / cafe",B349="Dessert / bakery"),1,0)+IF(AND(N(H349)&gt;=4.3,N(I349)&gt;=50),1,0)+IF(AND(OR(M349&lt;&gt;"",N349&lt;&gt;""),O349&lt;&gt;""),1,0))</f>
        <v/>
      </c>
      <c r="S349" s="13">
        <f>IF(R349="","",IF(R349&gt;=6,"A",IF(R349&gt;=4,"B","C")))</f>
        <v/>
      </c>
      <c r="T349" s="10" t="n"/>
      <c r="U349" s="14" t="n"/>
      <c r="V349" s="10" t="n"/>
      <c r="W349" s="10" t="n"/>
    </row>
    <row r="350">
      <c r="A350" s="10" t="n"/>
      <c r="B350" s="10" t="n"/>
      <c r="C350" s="10" t="n"/>
      <c r="D350" s="10" t="n"/>
      <c r="E350" s="10" t="n"/>
      <c r="F350" s="11" t="n"/>
      <c r="G350" s="10" t="n"/>
      <c r="H350" s="12" t="n"/>
      <c r="I350" s="11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3">
        <f>IF(A350="","",IF(AND(N(F350)&gt;=3000,G350&lt;&gt;"Yes"),3,0)+IF(J350="Yes",2,0)+IF(OR(D350="1 venue",D350="2-6 venues"),1,0)+IF(OR(B350="Specialty coffee",B350="Brunch / cafe",B350="Dessert / bakery"),1,0)+IF(AND(N(H350)&gt;=4.3,N(I350)&gt;=50),1,0)+IF(AND(OR(M350&lt;&gt;"",N350&lt;&gt;""),O350&lt;&gt;""),1,0))</f>
        <v/>
      </c>
      <c r="S350" s="13">
        <f>IF(R350="","",IF(R350&gt;=6,"A",IF(R350&gt;=4,"B","C")))</f>
        <v/>
      </c>
      <c r="T350" s="10" t="n"/>
      <c r="U350" s="14" t="n"/>
      <c r="V350" s="10" t="n"/>
      <c r="W350" s="10" t="n"/>
    </row>
    <row r="351">
      <c r="A351" s="10" t="n"/>
      <c r="B351" s="10" t="n"/>
      <c r="C351" s="10" t="n"/>
      <c r="D351" s="10" t="n"/>
      <c r="E351" s="10" t="n"/>
      <c r="F351" s="11" t="n"/>
      <c r="G351" s="10" t="n"/>
      <c r="H351" s="12" t="n"/>
      <c r="I351" s="11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3">
        <f>IF(A351="","",IF(AND(N(F351)&gt;=3000,G351&lt;&gt;"Yes"),3,0)+IF(J351="Yes",2,0)+IF(OR(D351="1 venue",D351="2-6 venues"),1,0)+IF(OR(B351="Specialty coffee",B351="Brunch / cafe",B351="Dessert / bakery"),1,0)+IF(AND(N(H351)&gt;=4.3,N(I351)&gt;=50),1,0)+IF(AND(OR(M351&lt;&gt;"",N351&lt;&gt;""),O351&lt;&gt;""),1,0))</f>
        <v/>
      </c>
      <c r="S351" s="13">
        <f>IF(R351="","",IF(R351&gt;=6,"A",IF(R351&gt;=4,"B","C")))</f>
        <v/>
      </c>
      <c r="T351" s="10" t="n"/>
      <c r="U351" s="14" t="n"/>
      <c r="V351" s="10" t="n"/>
      <c r="W351" s="10" t="n"/>
    </row>
    <row r="352">
      <c r="A352" s="10" t="n"/>
      <c r="B352" s="10" t="n"/>
      <c r="C352" s="10" t="n"/>
      <c r="D352" s="10" t="n"/>
      <c r="E352" s="10" t="n"/>
      <c r="F352" s="11" t="n"/>
      <c r="G352" s="10" t="n"/>
      <c r="H352" s="12" t="n"/>
      <c r="I352" s="11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3">
        <f>IF(A352="","",IF(AND(N(F352)&gt;=3000,G352&lt;&gt;"Yes"),3,0)+IF(J352="Yes",2,0)+IF(OR(D352="1 venue",D352="2-6 venues"),1,0)+IF(OR(B352="Specialty coffee",B352="Brunch / cafe",B352="Dessert / bakery"),1,0)+IF(AND(N(H352)&gt;=4.3,N(I352)&gt;=50),1,0)+IF(AND(OR(M352&lt;&gt;"",N352&lt;&gt;""),O352&lt;&gt;""),1,0))</f>
        <v/>
      </c>
      <c r="S352" s="13">
        <f>IF(R352="","",IF(R352&gt;=6,"A",IF(R352&gt;=4,"B","C")))</f>
        <v/>
      </c>
      <c r="T352" s="10" t="n"/>
      <c r="U352" s="14" t="n"/>
      <c r="V352" s="10" t="n"/>
      <c r="W352" s="10" t="n"/>
    </row>
    <row r="353">
      <c r="A353" s="10" t="n"/>
      <c r="B353" s="10" t="n"/>
      <c r="C353" s="10" t="n"/>
      <c r="D353" s="10" t="n"/>
      <c r="E353" s="10" t="n"/>
      <c r="F353" s="11" t="n"/>
      <c r="G353" s="10" t="n"/>
      <c r="H353" s="12" t="n"/>
      <c r="I353" s="11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3">
        <f>IF(A353="","",IF(AND(N(F353)&gt;=3000,G353&lt;&gt;"Yes"),3,0)+IF(J353="Yes",2,0)+IF(OR(D353="1 venue",D353="2-6 venues"),1,0)+IF(OR(B353="Specialty coffee",B353="Brunch / cafe",B353="Dessert / bakery"),1,0)+IF(AND(N(H353)&gt;=4.3,N(I353)&gt;=50),1,0)+IF(AND(OR(M353&lt;&gt;"",N353&lt;&gt;""),O353&lt;&gt;""),1,0))</f>
        <v/>
      </c>
      <c r="S353" s="13">
        <f>IF(R353="","",IF(R353&gt;=6,"A",IF(R353&gt;=4,"B","C")))</f>
        <v/>
      </c>
      <c r="T353" s="10" t="n"/>
      <c r="U353" s="14" t="n"/>
      <c r="V353" s="10" t="n"/>
      <c r="W353" s="10" t="n"/>
    </row>
    <row r="354">
      <c r="A354" s="10" t="n"/>
      <c r="B354" s="10" t="n"/>
      <c r="C354" s="10" t="n"/>
      <c r="D354" s="10" t="n"/>
      <c r="E354" s="10" t="n"/>
      <c r="F354" s="11" t="n"/>
      <c r="G354" s="10" t="n"/>
      <c r="H354" s="12" t="n"/>
      <c r="I354" s="11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3">
        <f>IF(A354="","",IF(AND(N(F354)&gt;=3000,G354&lt;&gt;"Yes"),3,0)+IF(J354="Yes",2,0)+IF(OR(D354="1 venue",D354="2-6 venues"),1,0)+IF(OR(B354="Specialty coffee",B354="Brunch / cafe",B354="Dessert / bakery"),1,0)+IF(AND(N(H354)&gt;=4.3,N(I354)&gt;=50),1,0)+IF(AND(OR(M354&lt;&gt;"",N354&lt;&gt;""),O354&lt;&gt;""),1,0))</f>
        <v/>
      </c>
      <c r="S354" s="13">
        <f>IF(R354="","",IF(R354&gt;=6,"A",IF(R354&gt;=4,"B","C")))</f>
        <v/>
      </c>
      <c r="T354" s="10" t="n"/>
      <c r="U354" s="14" t="n"/>
      <c r="V354" s="10" t="n"/>
      <c r="W354" s="10" t="n"/>
    </row>
    <row r="355">
      <c r="A355" s="10" t="n"/>
      <c r="B355" s="10" t="n"/>
      <c r="C355" s="10" t="n"/>
      <c r="D355" s="10" t="n"/>
      <c r="E355" s="10" t="n"/>
      <c r="F355" s="11" t="n"/>
      <c r="G355" s="10" t="n"/>
      <c r="H355" s="12" t="n"/>
      <c r="I355" s="11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3">
        <f>IF(A355="","",IF(AND(N(F355)&gt;=3000,G355&lt;&gt;"Yes"),3,0)+IF(J355="Yes",2,0)+IF(OR(D355="1 venue",D355="2-6 venues"),1,0)+IF(OR(B355="Specialty coffee",B355="Brunch / cafe",B355="Dessert / bakery"),1,0)+IF(AND(N(H355)&gt;=4.3,N(I355)&gt;=50),1,0)+IF(AND(OR(M355&lt;&gt;"",N355&lt;&gt;""),O355&lt;&gt;""),1,0))</f>
        <v/>
      </c>
      <c r="S355" s="13">
        <f>IF(R355="","",IF(R355&gt;=6,"A",IF(R355&gt;=4,"B","C")))</f>
        <v/>
      </c>
      <c r="T355" s="10" t="n"/>
      <c r="U355" s="14" t="n"/>
      <c r="V355" s="10" t="n"/>
      <c r="W355" s="10" t="n"/>
    </row>
    <row r="356">
      <c r="A356" s="10" t="n"/>
      <c r="B356" s="10" t="n"/>
      <c r="C356" s="10" t="n"/>
      <c r="D356" s="10" t="n"/>
      <c r="E356" s="10" t="n"/>
      <c r="F356" s="11" t="n"/>
      <c r="G356" s="10" t="n"/>
      <c r="H356" s="12" t="n"/>
      <c r="I356" s="11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3">
        <f>IF(A356="","",IF(AND(N(F356)&gt;=3000,G356&lt;&gt;"Yes"),3,0)+IF(J356="Yes",2,0)+IF(OR(D356="1 venue",D356="2-6 venues"),1,0)+IF(OR(B356="Specialty coffee",B356="Brunch / cafe",B356="Dessert / bakery"),1,0)+IF(AND(N(H356)&gt;=4.3,N(I356)&gt;=50),1,0)+IF(AND(OR(M356&lt;&gt;"",N356&lt;&gt;""),O356&lt;&gt;""),1,0))</f>
        <v/>
      </c>
      <c r="S356" s="13">
        <f>IF(R356="","",IF(R356&gt;=6,"A",IF(R356&gt;=4,"B","C")))</f>
        <v/>
      </c>
      <c r="T356" s="10" t="n"/>
      <c r="U356" s="14" t="n"/>
      <c r="V356" s="10" t="n"/>
      <c r="W356" s="10" t="n"/>
    </row>
    <row r="357">
      <c r="A357" s="10" t="n"/>
      <c r="B357" s="10" t="n"/>
      <c r="C357" s="10" t="n"/>
      <c r="D357" s="10" t="n"/>
      <c r="E357" s="10" t="n"/>
      <c r="F357" s="11" t="n"/>
      <c r="G357" s="10" t="n"/>
      <c r="H357" s="12" t="n"/>
      <c r="I357" s="11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3">
        <f>IF(A357="","",IF(AND(N(F357)&gt;=3000,G357&lt;&gt;"Yes"),3,0)+IF(J357="Yes",2,0)+IF(OR(D357="1 venue",D357="2-6 venues"),1,0)+IF(OR(B357="Specialty coffee",B357="Brunch / cafe",B357="Dessert / bakery"),1,0)+IF(AND(N(H357)&gt;=4.3,N(I357)&gt;=50),1,0)+IF(AND(OR(M357&lt;&gt;"",N357&lt;&gt;""),O357&lt;&gt;""),1,0))</f>
        <v/>
      </c>
      <c r="S357" s="13">
        <f>IF(R357="","",IF(R357&gt;=6,"A",IF(R357&gt;=4,"B","C")))</f>
        <v/>
      </c>
      <c r="T357" s="10" t="n"/>
      <c r="U357" s="14" t="n"/>
      <c r="V357" s="10" t="n"/>
      <c r="W357" s="10" t="n"/>
    </row>
    <row r="358">
      <c r="A358" s="10" t="n"/>
      <c r="B358" s="10" t="n"/>
      <c r="C358" s="10" t="n"/>
      <c r="D358" s="10" t="n"/>
      <c r="E358" s="10" t="n"/>
      <c r="F358" s="11" t="n"/>
      <c r="G358" s="10" t="n"/>
      <c r="H358" s="12" t="n"/>
      <c r="I358" s="11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3">
        <f>IF(A358="","",IF(AND(N(F358)&gt;=3000,G358&lt;&gt;"Yes"),3,0)+IF(J358="Yes",2,0)+IF(OR(D358="1 venue",D358="2-6 venues"),1,0)+IF(OR(B358="Specialty coffee",B358="Brunch / cafe",B358="Dessert / bakery"),1,0)+IF(AND(N(H358)&gt;=4.3,N(I358)&gt;=50),1,0)+IF(AND(OR(M358&lt;&gt;"",N358&lt;&gt;""),O358&lt;&gt;""),1,0))</f>
        <v/>
      </c>
      <c r="S358" s="13">
        <f>IF(R358="","",IF(R358&gt;=6,"A",IF(R358&gt;=4,"B","C")))</f>
        <v/>
      </c>
      <c r="T358" s="10" t="n"/>
      <c r="U358" s="14" t="n"/>
      <c r="V358" s="10" t="n"/>
      <c r="W358" s="10" t="n"/>
    </row>
    <row r="359">
      <c r="A359" s="10" t="n"/>
      <c r="B359" s="10" t="n"/>
      <c r="C359" s="10" t="n"/>
      <c r="D359" s="10" t="n"/>
      <c r="E359" s="10" t="n"/>
      <c r="F359" s="11" t="n"/>
      <c r="G359" s="10" t="n"/>
      <c r="H359" s="12" t="n"/>
      <c r="I359" s="11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3">
        <f>IF(A359="","",IF(AND(N(F359)&gt;=3000,G359&lt;&gt;"Yes"),3,0)+IF(J359="Yes",2,0)+IF(OR(D359="1 venue",D359="2-6 venues"),1,0)+IF(OR(B359="Specialty coffee",B359="Brunch / cafe",B359="Dessert / bakery"),1,0)+IF(AND(N(H359)&gt;=4.3,N(I359)&gt;=50),1,0)+IF(AND(OR(M359&lt;&gt;"",N359&lt;&gt;""),O359&lt;&gt;""),1,0))</f>
        <v/>
      </c>
      <c r="S359" s="13">
        <f>IF(R359="","",IF(R359&gt;=6,"A",IF(R359&gt;=4,"B","C")))</f>
        <v/>
      </c>
      <c r="T359" s="10" t="n"/>
      <c r="U359" s="14" t="n"/>
      <c r="V359" s="10" t="n"/>
      <c r="W359" s="10" t="n"/>
    </row>
    <row r="360">
      <c r="A360" s="10" t="n"/>
      <c r="B360" s="10" t="n"/>
      <c r="C360" s="10" t="n"/>
      <c r="D360" s="10" t="n"/>
      <c r="E360" s="10" t="n"/>
      <c r="F360" s="11" t="n"/>
      <c r="G360" s="10" t="n"/>
      <c r="H360" s="12" t="n"/>
      <c r="I360" s="11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3">
        <f>IF(A360="","",IF(AND(N(F360)&gt;=3000,G360&lt;&gt;"Yes"),3,0)+IF(J360="Yes",2,0)+IF(OR(D360="1 venue",D360="2-6 venues"),1,0)+IF(OR(B360="Specialty coffee",B360="Brunch / cafe",B360="Dessert / bakery"),1,0)+IF(AND(N(H360)&gt;=4.3,N(I360)&gt;=50),1,0)+IF(AND(OR(M360&lt;&gt;"",N360&lt;&gt;""),O360&lt;&gt;""),1,0))</f>
        <v/>
      </c>
      <c r="S360" s="13">
        <f>IF(R360="","",IF(R360&gt;=6,"A",IF(R360&gt;=4,"B","C")))</f>
        <v/>
      </c>
      <c r="T360" s="10" t="n"/>
      <c r="U360" s="14" t="n"/>
      <c r="V360" s="10" t="n"/>
      <c r="W360" s="10" t="n"/>
    </row>
    <row r="361">
      <c r="A361" s="10" t="n"/>
      <c r="B361" s="10" t="n"/>
      <c r="C361" s="10" t="n"/>
      <c r="D361" s="10" t="n"/>
      <c r="E361" s="10" t="n"/>
      <c r="F361" s="11" t="n"/>
      <c r="G361" s="10" t="n"/>
      <c r="H361" s="12" t="n"/>
      <c r="I361" s="11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3">
        <f>IF(A361="","",IF(AND(N(F361)&gt;=3000,G361&lt;&gt;"Yes"),3,0)+IF(J361="Yes",2,0)+IF(OR(D361="1 venue",D361="2-6 venues"),1,0)+IF(OR(B361="Specialty coffee",B361="Brunch / cafe",B361="Dessert / bakery"),1,0)+IF(AND(N(H361)&gt;=4.3,N(I361)&gt;=50),1,0)+IF(AND(OR(M361&lt;&gt;"",N361&lt;&gt;""),O361&lt;&gt;""),1,0))</f>
        <v/>
      </c>
      <c r="S361" s="13">
        <f>IF(R361="","",IF(R361&gt;=6,"A",IF(R361&gt;=4,"B","C")))</f>
        <v/>
      </c>
      <c r="T361" s="10" t="n"/>
      <c r="U361" s="14" t="n"/>
      <c r="V361" s="10" t="n"/>
      <c r="W361" s="10" t="n"/>
    </row>
    <row r="362">
      <c r="A362" s="10" t="n"/>
      <c r="B362" s="10" t="n"/>
      <c r="C362" s="10" t="n"/>
      <c r="D362" s="10" t="n"/>
      <c r="E362" s="10" t="n"/>
      <c r="F362" s="11" t="n"/>
      <c r="G362" s="10" t="n"/>
      <c r="H362" s="12" t="n"/>
      <c r="I362" s="11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3">
        <f>IF(A362="","",IF(AND(N(F362)&gt;=3000,G362&lt;&gt;"Yes"),3,0)+IF(J362="Yes",2,0)+IF(OR(D362="1 venue",D362="2-6 venues"),1,0)+IF(OR(B362="Specialty coffee",B362="Brunch / cafe",B362="Dessert / bakery"),1,0)+IF(AND(N(H362)&gt;=4.3,N(I362)&gt;=50),1,0)+IF(AND(OR(M362&lt;&gt;"",N362&lt;&gt;""),O362&lt;&gt;""),1,0))</f>
        <v/>
      </c>
      <c r="S362" s="13">
        <f>IF(R362="","",IF(R362&gt;=6,"A",IF(R362&gt;=4,"B","C")))</f>
        <v/>
      </c>
      <c r="T362" s="10" t="n"/>
      <c r="U362" s="14" t="n"/>
      <c r="V362" s="10" t="n"/>
      <c r="W362" s="10" t="n"/>
    </row>
    <row r="363">
      <c r="A363" s="10" t="n"/>
      <c r="B363" s="10" t="n"/>
      <c r="C363" s="10" t="n"/>
      <c r="D363" s="10" t="n"/>
      <c r="E363" s="10" t="n"/>
      <c r="F363" s="11" t="n"/>
      <c r="G363" s="10" t="n"/>
      <c r="H363" s="12" t="n"/>
      <c r="I363" s="11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3">
        <f>IF(A363="","",IF(AND(N(F363)&gt;=3000,G363&lt;&gt;"Yes"),3,0)+IF(J363="Yes",2,0)+IF(OR(D363="1 venue",D363="2-6 venues"),1,0)+IF(OR(B363="Specialty coffee",B363="Brunch / cafe",B363="Dessert / bakery"),1,0)+IF(AND(N(H363)&gt;=4.3,N(I363)&gt;=50),1,0)+IF(AND(OR(M363&lt;&gt;"",N363&lt;&gt;""),O363&lt;&gt;""),1,0))</f>
        <v/>
      </c>
      <c r="S363" s="13">
        <f>IF(R363="","",IF(R363&gt;=6,"A",IF(R363&gt;=4,"B","C")))</f>
        <v/>
      </c>
      <c r="T363" s="10" t="n"/>
      <c r="U363" s="14" t="n"/>
      <c r="V363" s="10" t="n"/>
      <c r="W363" s="10" t="n"/>
    </row>
    <row r="364">
      <c r="A364" s="10" t="n"/>
      <c r="B364" s="10" t="n"/>
      <c r="C364" s="10" t="n"/>
      <c r="D364" s="10" t="n"/>
      <c r="E364" s="10" t="n"/>
      <c r="F364" s="11" t="n"/>
      <c r="G364" s="10" t="n"/>
      <c r="H364" s="12" t="n"/>
      <c r="I364" s="11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3">
        <f>IF(A364="","",IF(AND(N(F364)&gt;=3000,G364&lt;&gt;"Yes"),3,0)+IF(J364="Yes",2,0)+IF(OR(D364="1 venue",D364="2-6 venues"),1,0)+IF(OR(B364="Specialty coffee",B364="Brunch / cafe",B364="Dessert / bakery"),1,0)+IF(AND(N(H364)&gt;=4.3,N(I364)&gt;=50),1,0)+IF(AND(OR(M364&lt;&gt;"",N364&lt;&gt;""),O364&lt;&gt;""),1,0))</f>
        <v/>
      </c>
      <c r="S364" s="13">
        <f>IF(R364="","",IF(R364&gt;=6,"A",IF(R364&gt;=4,"B","C")))</f>
        <v/>
      </c>
      <c r="T364" s="10" t="n"/>
      <c r="U364" s="14" t="n"/>
      <c r="V364" s="10" t="n"/>
      <c r="W364" s="10" t="n"/>
    </row>
    <row r="365">
      <c r="A365" s="10" t="n"/>
      <c r="B365" s="10" t="n"/>
      <c r="C365" s="10" t="n"/>
      <c r="D365" s="10" t="n"/>
      <c r="E365" s="10" t="n"/>
      <c r="F365" s="11" t="n"/>
      <c r="G365" s="10" t="n"/>
      <c r="H365" s="12" t="n"/>
      <c r="I365" s="11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3">
        <f>IF(A365="","",IF(AND(N(F365)&gt;=3000,G365&lt;&gt;"Yes"),3,0)+IF(J365="Yes",2,0)+IF(OR(D365="1 venue",D365="2-6 venues"),1,0)+IF(OR(B365="Specialty coffee",B365="Brunch / cafe",B365="Dessert / bakery"),1,0)+IF(AND(N(H365)&gt;=4.3,N(I365)&gt;=50),1,0)+IF(AND(OR(M365&lt;&gt;"",N365&lt;&gt;""),O365&lt;&gt;""),1,0))</f>
        <v/>
      </c>
      <c r="S365" s="13">
        <f>IF(R365="","",IF(R365&gt;=6,"A",IF(R365&gt;=4,"B","C")))</f>
        <v/>
      </c>
      <c r="T365" s="10" t="n"/>
      <c r="U365" s="14" t="n"/>
      <c r="V365" s="10" t="n"/>
      <c r="W365" s="10" t="n"/>
    </row>
    <row r="366">
      <c r="A366" s="10" t="n"/>
      <c r="B366" s="10" t="n"/>
      <c r="C366" s="10" t="n"/>
      <c r="D366" s="10" t="n"/>
      <c r="E366" s="10" t="n"/>
      <c r="F366" s="11" t="n"/>
      <c r="G366" s="10" t="n"/>
      <c r="H366" s="12" t="n"/>
      <c r="I366" s="11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3">
        <f>IF(A366="","",IF(AND(N(F366)&gt;=3000,G366&lt;&gt;"Yes"),3,0)+IF(J366="Yes",2,0)+IF(OR(D366="1 venue",D366="2-6 venues"),1,0)+IF(OR(B366="Specialty coffee",B366="Brunch / cafe",B366="Dessert / bakery"),1,0)+IF(AND(N(H366)&gt;=4.3,N(I366)&gt;=50),1,0)+IF(AND(OR(M366&lt;&gt;"",N366&lt;&gt;""),O366&lt;&gt;""),1,0))</f>
        <v/>
      </c>
      <c r="S366" s="13">
        <f>IF(R366="","",IF(R366&gt;=6,"A",IF(R366&gt;=4,"B","C")))</f>
        <v/>
      </c>
      <c r="T366" s="10" t="n"/>
      <c r="U366" s="14" t="n"/>
      <c r="V366" s="10" t="n"/>
      <c r="W366" s="10" t="n"/>
    </row>
    <row r="367">
      <c r="A367" s="10" t="n"/>
      <c r="B367" s="10" t="n"/>
      <c r="C367" s="10" t="n"/>
      <c r="D367" s="10" t="n"/>
      <c r="E367" s="10" t="n"/>
      <c r="F367" s="11" t="n"/>
      <c r="G367" s="10" t="n"/>
      <c r="H367" s="12" t="n"/>
      <c r="I367" s="11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3">
        <f>IF(A367="","",IF(AND(N(F367)&gt;=3000,G367&lt;&gt;"Yes"),3,0)+IF(J367="Yes",2,0)+IF(OR(D367="1 venue",D367="2-6 venues"),1,0)+IF(OR(B367="Specialty coffee",B367="Brunch / cafe",B367="Dessert / bakery"),1,0)+IF(AND(N(H367)&gt;=4.3,N(I367)&gt;=50),1,0)+IF(AND(OR(M367&lt;&gt;"",N367&lt;&gt;""),O367&lt;&gt;""),1,0))</f>
        <v/>
      </c>
      <c r="S367" s="13">
        <f>IF(R367="","",IF(R367&gt;=6,"A",IF(R367&gt;=4,"B","C")))</f>
        <v/>
      </c>
      <c r="T367" s="10" t="n"/>
      <c r="U367" s="14" t="n"/>
      <c r="V367" s="10" t="n"/>
      <c r="W367" s="10" t="n"/>
    </row>
    <row r="368">
      <c r="A368" s="10" t="n"/>
      <c r="B368" s="10" t="n"/>
      <c r="C368" s="10" t="n"/>
      <c r="D368" s="10" t="n"/>
      <c r="E368" s="10" t="n"/>
      <c r="F368" s="11" t="n"/>
      <c r="G368" s="10" t="n"/>
      <c r="H368" s="12" t="n"/>
      <c r="I368" s="11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3">
        <f>IF(A368="","",IF(AND(N(F368)&gt;=3000,G368&lt;&gt;"Yes"),3,0)+IF(J368="Yes",2,0)+IF(OR(D368="1 venue",D368="2-6 venues"),1,0)+IF(OR(B368="Specialty coffee",B368="Brunch / cafe",B368="Dessert / bakery"),1,0)+IF(AND(N(H368)&gt;=4.3,N(I368)&gt;=50),1,0)+IF(AND(OR(M368&lt;&gt;"",N368&lt;&gt;""),O368&lt;&gt;""),1,0))</f>
        <v/>
      </c>
      <c r="S368" s="13">
        <f>IF(R368="","",IF(R368&gt;=6,"A",IF(R368&gt;=4,"B","C")))</f>
        <v/>
      </c>
      <c r="T368" s="10" t="n"/>
      <c r="U368" s="14" t="n"/>
      <c r="V368" s="10" t="n"/>
      <c r="W368" s="10" t="n"/>
    </row>
    <row r="369">
      <c r="A369" s="10" t="n"/>
      <c r="B369" s="10" t="n"/>
      <c r="C369" s="10" t="n"/>
      <c r="D369" s="10" t="n"/>
      <c r="E369" s="10" t="n"/>
      <c r="F369" s="11" t="n"/>
      <c r="G369" s="10" t="n"/>
      <c r="H369" s="12" t="n"/>
      <c r="I369" s="11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3">
        <f>IF(A369="","",IF(AND(N(F369)&gt;=3000,G369&lt;&gt;"Yes"),3,0)+IF(J369="Yes",2,0)+IF(OR(D369="1 venue",D369="2-6 venues"),1,0)+IF(OR(B369="Specialty coffee",B369="Brunch / cafe",B369="Dessert / bakery"),1,0)+IF(AND(N(H369)&gt;=4.3,N(I369)&gt;=50),1,0)+IF(AND(OR(M369&lt;&gt;"",N369&lt;&gt;""),O369&lt;&gt;""),1,0))</f>
        <v/>
      </c>
      <c r="S369" s="13">
        <f>IF(R369="","",IF(R369&gt;=6,"A",IF(R369&gt;=4,"B","C")))</f>
        <v/>
      </c>
      <c r="T369" s="10" t="n"/>
      <c r="U369" s="14" t="n"/>
      <c r="V369" s="10" t="n"/>
      <c r="W369" s="10" t="n"/>
    </row>
    <row r="370">
      <c r="A370" s="10" t="n"/>
      <c r="B370" s="10" t="n"/>
      <c r="C370" s="10" t="n"/>
      <c r="D370" s="10" t="n"/>
      <c r="E370" s="10" t="n"/>
      <c r="F370" s="11" t="n"/>
      <c r="G370" s="10" t="n"/>
      <c r="H370" s="12" t="n"/>
      <c r="I370" s="11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3">
        <f>IF(A370="","",IF(AND(N(F370)&gt;=3000,G370&lt;&gt;"Yes"),3,0)+IF(J370="Yes",2,0)+IF(OR(D370="1 venue",D370="2-6 venues"),1,0)+IF(OR(B370="Specialty coffee",B370="Brunch / cafe",B370="Dessert / bakery"),1,0)+IF(AND(N(H370)&gt;=4.3,N(I370)&gt;=50),1,0)+IF(AND(OR(M370&lt;&gt;"",N370&lt;&gt;""),O370&lt;&gt;""),1,0))</f>
        <v/>
      </c>
      <c r="S370" s="13">
        <f>IF(R370="","",IF(R370&gt;=6,"A",IF(R370&gt;=4,"B","C")))</f>
        <v/>
      </c>
      <c r="T370" s="10" t="n"/>
      <c r="U370" s="14" t="n"/>
      <c r="V370" s="10" t="n"/>
      <c r="W370" s="10" t="n"/>
    </row>
    <row r="371">
      <c r="A371" s="10" t="n"/>
      <c r="B371" s="10" t="n"/>
      <c r="C371" s="10" t="n"/>
      <c r="D371" s="10" t="n"/>
      <c r="E371" s="10" t="n"/>
      <c r="F371" s="11" t="n"/>
      <c r="G371" s="10" t="n"/>
      <c r="H371" s="12" t="n"/>
      <c r="I371" s="11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3">
        <f>IF(A371="","",IF(AND(N(F371)&gt;=3000,G371&lt;&gt;"Yes"),3,0)+IF(J371="Yes",2,0)+IF(OR(D371="1 venue",D371="2-6 venues"),1,0)+IF(OR(B371="Specialty coffee",B371="Brunch / cafe",B371="Dessert / bakery"),1,0)+IF(AND(N(H371)&gt;=4.3,N(I371)&gt;=50),1,0)+IF(AND(OR(M371&lt;&gt;"",N371&lt;&gt;""),O371&lt;&gt;""),1,0))</f>
        <v/>
      </c>
      <c r="S371" s="13">
        <f>IF(R371="","",IF(R371&gt;=6,"A",IF(R371&gt;=4,"B","C")))</f>
        <v/>
      </c>
      <c r="T371" s="10" t="n"/>
      <c r="U371" s="14" t="n"/>
      <c r="V371" s="10" t="n"/>
      <c r="W371" s="10" t="n"/>
    </row>
    <row r="372">
      <c r="A372" s="10" t="n"/>
      <c r="B372" s="10" t="n"/>
      <c r="C372" s="10" t="n"/>
      <c r="D372" s="10" t="n"/>
      <c r="E372" s="10" t="n"/>
      <c r="F372" s="11" t="n"/>
      <c r="G372" s="10" t="n"/>
      <c r="H372" s="12" t="n"/>
      <c r="I372" s="11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3">
        <f>IF(A372="","",IF(AND(N(F372)&gt;=3000,G372&lt;&gt;"Yes"),3,0)+IF(J372="Yes",2,0)+IF(OR(D372="1 venue",D372="2-6 venues"),1,0)+IF(OR(B372="Specialty coffee",B372="Brunch / cafe",B372="Dessert / bakery"),1,0)+IF(AND(N(H372)&gt;=4.3,N(I372)&gt;=50),1,0)+IF(AND(OR(M372&lt;&gt;"",N372&lt;&gt;""),O372&lt;&gt;""),1,0))</f>
        <v/>
      </c>
      <c r="S372" s="13">
        <f>IF(R372="","",IF(R372&gt;=6,"A",IF(R372&gt;=4,"B","C")))</f>
        <v/>
      </c>
      <c r="T372" s="10" t="n"/>
      <c r="U372" s="14" t="n"/>
      <c r="V372" s="10" t="n"/>
      <c r="W372" s="10" t="n"/>
    </row>
    <row r="373">
      <c r="A373" s="10" t="n"/>
      <c r="B373" s="10" t="n"/>
      <c r="C373" s="10" t="n"/>
      <c r="D373" s="10" t="n"/>
      <c r="E373" s="10" t="n"/>
      <c r="F373" s="11" t="n"/>
      <c r="G373" s="10" t="n"/>
      <c r="H373" s="12" t="n"/>
      <c r="I373" s="11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3">
        <f>IF(A373="","",IF(AND(N(F373)&gt;=3000,G373&lt;&gt;"Yes"),3,0)+IF(J373="Yes",2,0)+IF(OR(D373="1 venue",D373="2-6 venues"),1,0)+IF(OR(B373="Specialty coffee",B373="Brunch / cafe",B373="Dessert / bakery"),1,0)+IF(AND(N(H373)&gt;=4.3,N(I373)&gt;=50),1,0)+IF(AND(OR(M373&lt;&gt;"",N373&lt;&gt;""),O373&lt;&gt;""),1,0))</f>
        <v/>
      </c>
      <c r="S373" s="13">
        <f>IF(R373="","",IF(R373&gt;=6,"A",IF(R373&gt;=4,"B","C")))</f>
        <v/>
      </c>
      <c r="T373" s="10" t="n"/>
      <c r="U373" s="14" t="n"/>
      <c r="V373" s="10" t="n"/>
      <c r="W373" s="10" t="n"/>
    </row>
    <row r="374">
      <c r="A374" s="10" t="n"/>
      <c r="B374" s="10" t="n"/>
      <c r="C374" s="10" t="n"/>
      <c r="D374" s="10" t="n"/>
      <c r="E374" s="10" t="n"/>
      <c r="F374" s="11" t="n"/>
      <c r="G374" s="10" t="n"/>
      <c r="H374" s="12" t="n"/>
      <c r="I374" s="11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3">
        <f>IF(A374="","",IF(AND(N(F374)&gt;=3000,G374&lt;&gt;"Yes"),3,0)+IF(J374="Yes",2,0)+IF(OR(D374="1 venue",D374="2-6 venues"),1,0)+IF(OR(B374="Specialty coffee",B374="Brunch / cafe",B374="Dessert / bakery"),1,0)+IF(AND(N(H374)&gt;=4.3,N(I374)&gt;=50),1,0)+IF(AND(OR(M374&lt;&gt;"",N374&lt;&gt;""),O374&lt;&gt;""),1,0))</f>
        <v/>
      </c>
      <c r="S374" s="13">
        <f>IF(R374="","",IF(R374&gt;=6,"A",IF(R374&gt;=4,"B","C")))</f>
        <v/>
      </c>
      <c r="T374" s="10" t="n"/>
      <c r="U374" s="14" t="n"/>
      <c r="V374" s="10" t="n"/>
      <c r="W374" s="10" t="n"/>
    </row>
    <row r="375">
      <c r="A375" s="10" t="n"/>
      <c r="B375" s="10" t="n"/>
      <c r="C375" s="10" t="n"/>
      <c r="D375" s="10" t="n"/>
      <c r="E375" s="10" t="n"/>
      <c r="F375" s="11" t="n"/>
      <c r="G375" s="10" t="n"/>
      <c r="H375" s="12" t="n"/>
      <c r="I375" s="11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3">
        <f>IF(A375="","",IF(AND(N(F375)&gt;=3000,G375&lt;&gt;"Yes"),3,0)+IF(J375="Yes",2,0)+IF(OR(D375="1 venue",D375="2-6 venues"),1,0)+IF(OR(B375="Specialty coffee",B375="Brunch / cafe",B375="Dessert / bakery"),1,0)+IF(AND(N(H375)&gt;=4.3,N(I375)&gt;=50),1,0)+IF(AND(OR(M375&lt;&gt;"",N375&lt;&gt;""),O375&lt;&gt;""),1,0))</f>
        <v/>
      </c>
      <c r="S375" s="13">
        <f>IF(R375="","",IF(R375&gt;=6,"A",IF(R375&gt;=4,"B","C")))</f>
        <v/>
      </c>
      <c r="T375" s="10" t="n"/>
      <c r="U375" s="14" t="n"/>
      <c r="V375" s="10" t="n"/>
      <c r="W375" s="10" t="n"/>
    </row>
    <row r="376">
      <c r="A376" s="10" t="n"/>
      <c r="B376" s="10" t="n"/>
      <c r="C376" s="10" t="n"/>
      <c r="D376" s="10" t="n"/>
      <c r="E376" s="10" t="n"/>
      <c r="F376" s="11" t="n"/>
      <c r="G376" s="10" t="n"/>
      <c r="H376" s="12" t="n"/>
      <c r="I376" s="11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3">
        <f>IF(A376="","",IF(AND(N(F376)&gt;=3000,G376&lt;&gt;"Yes"),3,0)+IF(J376="Yes",2,0)+IF(OR(D376="1 venue",D376="2-6 venues"),1,0)+IF(OR(B376="Specialty coffee",B376="Brunch / cafe",B376="Dessert / bakery"),1,0)+IF(AND(N(H376)&gt;=4.3,N(I376)&gt;=50),1,0)+IF(AND(OR(M376&lt;&gt;"",N376&lt;&gt;""),O376&lt;&gt;""),1,0))</f>
        <v/>
      </c>
      <c r="S376" s="13">
        <f>IF(R376="","",IF(R376&gt;=6,"A",IF(R376&gt;=4,"B","C")))</f>
        <v/>
      </c>
      <c r="T376" s="10" t="n"/>
      <c r="U376" s="14" t="n"/>
      <c r="V376" s="10" t="n"/>
      <c r="W376" s="10" t="n"/>
    </row>
    <row r="377">
      <c r="A377" s="10" t="n"/>
      <c r="B377" s="10" t="n"/>
      <c r="C377" s="10" t="n"/>
      <c r="D377" s="10" t="n"/>
      <c r="E377" s="10" t="n"/>
      <c r="F377" s="11" t="n"/>
      <c r="G377" s="10" t="n"/>
      <c r="H377" s="12" t="n"/>
      <c r="I377" s="11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3">
        <f>IF(A377="","",IF(AND(N(F377)&gt;=3000,G377&lt;&gt;"Yes"),3,0)+IF(J377="Yes",2,0)+IF(OR(D377="1 venue",D377="2-6 venues"),1,0)+IF(OR(B377="Specialty coffee",B377="Brunch / cafe",B377="Dessert / bakery"),1,0)+IF(AND(N(H377)&gt;=4.3,N(I377)&gt;=50),1,0)+IF(AND(OR(M377&lt;&gt;"",N377&lt;&gt;""),O377&lt;&gt;""),1,0))</f>
        <v/>
      </c>
      <c r="S377" s="13">
        <f>IF(R377="","",IF(R377&gt;=6,"A",IF(R377&gt;=4,"B","C")))</f>
        <v/>
      </c>
      <c r="T377" s="10" t="n"/>
      <c r="U377" s="14" t="n"/>
      <c r="V377" s="10" t="n"/>
      <c r="W377" s="10" t="n"/>
    </row>
    <row r="378">
      <c r="A378" s="10" t="n"/>
      <c r="B378" s="10" t="n"/>
      <c r="C378" s="10" t="n"/>
      <c r="D378" s="10" t="n"/>
      <c r="E378" s="10" t="n"/>
      <c r="F378" s="11" t="n"/>
      <c r="G378" s="10" t="n"/>
      <c r="H378" s="12" t="n"/>
      <c r="I378" s="11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3">
        <f>IF(A378="","",IF(AND(N(F378)&gt;=3000,G378&lt;&gt;"Yes"),3,0)+IF(J378="Yes",2,0)+IF(OR(D378="1 venue",D378="2-6 venues"),1,0)+IF(OR(B378="Specialty coffee",B378="Brunch / cafe",B378="Dessert / bakery"),1,0)+IF(AND(N(H378)&gt;=4.3,N(I378)&gt;=50),1,0)+IF(AND(OR(M378&lt;&gt;"",N378&lt;&gt;""),O378&lt;&gt;""),1,0))</f>
        <v/>
      </c>
      <c r="S378" s="13">
        <f>IF(R378="","",IF(R378&gt;=6,"A",IF(R378&gt;=4,"B","C")))</f>
        <v/>
      </c>
      <c r="T378" s="10" t="n"/>
      <c r="U378" s="14" t="n"/>
      <c r="V378" s="10" t="n"/>
      <c r="W378" s="10" t="n"/>
    </row>
    <row r="379">
      <c r="A379" s="10" t="n"/>
      <c r="B379" s="10" t="n"/>
      <c r="C379" s="10" t="n"/>
      <c r="D379" s="10" t="n"/>
      <c r="E379" s="10" t="n"/>
      <c r="F379" s="11" t="n"/>
      <c r="G379" s="10" t="n"/>
      <c r="H379" s="12" t="n"/>
      <c r="I379" s="11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3">
        <f>IF(A379="","",IF(AND(N(F379)&gt;=3000,G379&lt;&gt;"Yes"),3,0)+IF(J379="Yes",2,0)+IF(OR(D379="1 venue",D379="2-6 venues"),1,0)+IF(OR(B379="Specialty coffee",B379="Brunch / cafe",B379="Dessert / bakery"),1,0)+IF(AND(N(H379)&gt;=4.3,N(I379)&gt;=50),1,0)+IF(AND(OR(M379&lt;&gt;"",N379&lt;&gt;""),O379&lt;&gt;""),1,0))</f>
        <v/>
      </c>
      <c r="S379" s="13">
        <f>IF(R379="","",IF(R379&gt;=6,"A",IF(R379&gt;=4,"B","C")))</f>
        <v/>
      </c>
      <c r="T379" s="10" t="n"/>
      <c r="U379" s="14" t="n"/>
      <c r="V379" s="10" t="n"/>
      <c r="W379" s="10" t="n"/>
    </row>
    <row r="380">
      <c r="A380" s="10" t="n"/>
      <c r="B380" s="10" t="n"/>
      <c r="C380" s="10" t="n"/>
      <c r="D380" s="10" t="n"/>
      <c r="E380" s="10" t="n"/>
      <c r="F380" s="11" t="n"/>
      <c r="G380" s="10" t="n"/>
      <c r="H380" s="12" t="n"/>
      <c r="I380" s="11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3">
        <f>IF(A380="","",IF(AND(N(F380)&gt;=3000,G380&lt;&gt;"Yes"),3,0)+IF(J380="Yes",2,0)+IF(OR(D380="1 venue",D380="2-6 venues"),1,0)+IF(OR(B380="Specialty coffee",B380="Brunch / cafe",B380="Dessert / bakery"),1,0)+IF(AND(N(H380)&gt;=4.3,N(I380)&gt;=50),1,0)+IF(AND(OR(M380&lt;&gt;"",N380&lt;&gt;""),O380&lt;&gt;""),1,0))</f>
        <v/>
      </c>
      <c r="S380" s="13">
        <f>IF(R380="","",IF(R380&gt;=6,"A",IF(R380&gt;=4,"B","C")))</f>
        <v/>
      </c>
      <c r="T380" s="10" t="n"/>
      <c r="U380" s="14" t="n"/>
      <c r="V380" s="10" t="n"/>
      <c r="W380" s="10" t="n"/>
    </row>
    <row r="381">
      <c r="A381" s="10" t="n"/>
      <c r="B381" s="10" t="n"/>
      <c r="C381" s="10" t="n"/>
      <c r="D381" s="10" t="n"/>
      <c r="E381" s="10" t="n"/>
      <c r="F381" s="11" t="n"/>
      <c r="G381" s="10" t="n"/>
      <c r="H381" s="12" t="n"/>
      <c r="I381" s="11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3">
        <f>IF(A381="","",IF(AND(N(F381)&gt;=3000,G381&lt;&gt;"Yes"),3,0)+IF(J381="Yes",2,0)+IF(OR(D381="1 venue",D381="2-6 venues"),1,0)+IF(OR(B381="Specialty coffee",B381="Brunch / cafe",B381="Dessert / bakery"),1,0)+IF(AND(N(H381)&gt;=4.3,N(I381)&gt;=50),1,0)+IF(AND(OR(M381&lt;&gt;"",N381&lt;&gt;""),O381&lt;&gt;""),1,0))</f>
        <v/>
      </c>
      <c r="S381" s="13">
        <f>IF(R381="","",IF(R381&gt;=6,"A",IF(R381&gt;=4,"B","C")))</f>
        <v/>
      </c>
      <c r="T381" s="10" t="n"/>
      <c r="U381" s="14" t="n"/>
      <c r="V381" s="10" t="n"/>
      <c r="W381" s="10" t="n"/>
    </row>
    <row r="382">
      <c r="A382" s="10" t="n"/>
      <c r="B382" s="10" t="n"/>
      <c r="C382" s="10" t="n"/>
      <c r="D382" s="10" t="n"/>
      <c r="E382" s="10" t="n"/>
      <c r="F382" s="11" t="n"/>
      <c r="G382" s="10" t="n"/>
      <c r="H382" s="12" t="n"/>
      <c r="I382" s="11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3">
        <f>IF(A382="","",IF(AND(N(F382)&gt;=3000,G382&lt;&gt;"Yes"),3,0)+IF(J382="Yes",2,0)+IF(OR(D382="1 venue",D382="2-6 venues"),1,0)+IF(OR(B382="Specialty coffee",B382="Brunch / cafe",B382="Dessert / bakery"),1,0)+IF(AND(N(H382)&gt;=4.3,N(I382)&gt;=50),1,0)+IF(AND(OR(M382&lt;&gt;"",N382&lt;&gt;""),O382&lt;&gt;""),1,0))</f>
        <v/>
      </c>
      <c r="S382" s="13">
        <f>IF(R382="","",IF(R382&gt;=6,"A",IF(R382&gt;=4,"B","C")))</f>
        <v/>
      </c>
      <c r="T382" s="10" t="n"/>
      <c r="U382" s="14" t="n"/>
      <c r="V382" s="10" t="n"/>
      <c r="W382" s="10" t="n"/>
    </row>
    <row r="383">
      <c r="A383" s="10" t="n"/>
      <c r="B383" s="10" t="n"/>
      <c r="C383" s="10" t="n"/>
      <c r="D383" s="10" t="n"/>
      <c r="E383" s="10" t="n"/>
      <c r="F383" s="11" t="n"/>
      <c r="G383" s="10" t="n"/>
      <c r="H383" s="12" t="n"/>
      <c r="I383" s="11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3">
        <f>IF(A383="","",IF(AND(N(F383)&gt;=3000,G383&lt;&gt;"Yes"),3,0)+IF(J383="Yes",2,0)+IF(OR(D383="1 venue",D383="2-6 venues"),1,0)+IF(OR(B383="Specialty coffee",B383="Brunch / cafe",B383="Dessert / bakery"),1,0)+IF(AND(N(H383)&gt;=4.3,N(I383)&gt;=50),1,0)+IF(AND(OR(M383&lt;&gt;"",N383&lt;&gt;""),O383&lt;&gt;""),1,0))</f>
        <v/>
      </c>
      <c r="S383" s="13">
        <f>IF(R383="","",IF(R383&gt;=6,"A",IF(R383&gt;=4,"B","C")))</f>
        <v/>
      </c>
      <c r="T383" s="10" t="n"/>
      <c r="U383" s="14" t="n"/>
      <c r="V383" s="10" t="n"/>
      <c r="W383" s="10" t="n"/>
    </row>
    <row r="384">
      <c r="A384" s="10" t="n"/>
      <c r="B384" s="10" t="n"/>
      <c r="C384" s="10" t="n"/>
      <c r="D384" s="10" t="n"/>
      <c r="E384" s="10" t="n"/>
      <c r="F384" s="11" t="n"/>
      <c r="G384" s="10" t="n"/>
      <c r="H384" s="12" t="n"/>
      <c r="I384" s="11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3">
        <f>IF(A384="","",IF(AND(N(F384)&gt;=3000,G384&lt;&gt;"Yes"),3,0)+IF(J384="Yes",2,0)+IF(OR(D384="1 venue",D384="2-6 venues"),1,0)+IF(OR(B384="Specialty coffee",B384="Brunch / cafe",B384="Dessert / bakery"),1,0)+IF(AND(N(H384)&gt;=4.3,N(I384)&gt;=50),1,0)+IF(AND(OR(M384&lt;&gt;"",N384&lt;&gt;""),O384&lt;&gt;""),1,0))</f>
        <v/>
      </c>
      <c r="S384" s="13">
        <f>IF(R384="","",IF(R384&gt;=6,"A",IF(R384&gt;=4,"B","C")))</f>
        <v/>
      </c>
      <c r="T384" s="10" t="n"/>
      <c r="U384" s="14" t="n"/>
      <c r="V384" s="10" t="n"/>
      <c r="W384" s="10" t="n"/>
    </row>
    <row r="385">
      <c r="A385" s="10" t="n"/>
      <c r="B385" s="10" t="n"/>
      <c r="C385" s="10" t="n"/>
      <c r="D385" s="10" t="n"/>
      <c r="E385" s="10" t="n"/>
      <c r="F385" s="11" t="n"/>
      <c r="G385" s="10" t="n"/>
      <c r="H385" s="12" t="n"/>
      <c r="I385" s="11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3">
        <f>IF(A385="","",IF(AND(N(F385)&gt;=3000,G385&lt;&gt;"Yes"),3,0)+IF(J385="Yes",2,0)+IF(OR(D385="1 venue",D385="2-6 venues"),1,0)+IF(OR(B385="Specialty coffee",B385="Brunch / cafe",B385="Dessert / bakery"),1,0)+IF(AND(N(H385)&gt;=4.3,N(I385)&gt;=50),1,0)+IF(AND(OR(M385&lt;&gt;"",N385&lt;&gt;""),O385&lt;&gt;""),1,0))</f>
        <v/>
      </c>
      <c r="S385" s="13">
        <f>IF(R385="","",IF(R385&gt;=6,"A",IF(R385&gt;=4,"B","C")))</f>
        <v/>
      </c>
      <c r="T385" s="10" t="n"/>
      <c r="U385" s="14" t="n"/>
      <c r="V385" s="10" t="n"/>
      <c r="W385" s="10" t="n"/>
    </row>
    <row r="386">
      <c r="A386" s="10" t="n"/>
      <c r="B386" s="10" t="n"/>
      <c r="C386" s="10" t="n"/>
      <c r="D386" s="10" t="n"/>
      <c r="E386" s="10" t="n"/>
      <c r="F386" s="11" t="n"/>
      <c r="G386" s="10" t="n"/>
      <c r="H386" s="12" t="n"/>
      <c r="I386" s="11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3">
        <f>IF(A386="","",IF(AND(N(F386)&gt;=3000,G386&lt;&gt;"Yes"),3,0)+IF(J386="Yes",2,0)+IF(OR(D386="1 venue",D386="2-6 venues"),1,0)+IF(OR(B386="Specialty coffee",B386="Brunch / cafe",B386="Dessert / bakery"),1,0)+IF(AND(N(H386)&gt;=4.3,N(I386)&gt;=50),1,0)+IF(AND(OR(M386&lt;&gt;"",N386&lt;&gt;""),O386&lt;&gt;""),1,0))</f>
        <v/>
      </c>
      <c r="S386" s="13">
        <f>IF(R386="","",IF(R386&gt;=6,"A",IF(R386&gt;=4,"B","C")))</f>
        <v/>
      </c>
      <c r="T386" s="10" t="n"/>
      <c r="U386" s="14" t="n"/>
      <c r="V386" s="10" t="n"/>
      <c r="W386" s="10" t="n"/>
    </row>
    <row r="387">
      <c r="A387" s="10" t="n"/>
      <c r="B387" s="10" t="n"/>
      <c r="C387" s="10" t="n"/>
      <c r="D387" s="10" t="n"/>
      <c r="E387" s="10" t="n"/>
      <c r="F387" s="11" t="n"/>
      <c r="G387" s="10" t="n"/>
      <c r="H387" s="12" t="n"/>
      <c r="I387" s="11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3">
        <f>IF(A387="","",IF(AND(N(F387)&gt;=3000,G387&lt;&gt;"Yes"),3,0)+IF(J387="Yes",2,0)+IF(OR(D387="1 venue",D387="2-6 venues"),1,0)+IF(OR(B387="Specialty coffee",B387="Brunch / cafe",B387="Dessert / bakery"),1,0)+IF(AND(N(H387)&gt;=4.3,N(I387)&gt;=50),1,0)+IF(AND(OR(M387&lt;&gt;"",N387&lt;&gt;""),O387&lt;&gt;""),1,0))</f>
        <v/>
      </c>
      <c r="S387" s="13">
        <f>IF(R387="","",IF(R387&gt;=6,"A",IF(R387&gt;=4,"B","C")))</f>
        <v/>
      </c>
      <c r="T387" s="10" t="n"/>
      <c r="U387" s="14" t="n"/>
      <c r="V387" s="10" t="n"/>
      <c r="W387" s="10" t="n"/>
    </row>
    <row r="388">
      <c r="A388" s="10" t="n"/>
      <c r="B388" s="10" t="n"/>
      <c r="C388" s="10" t="n"/>
      <c r="D388" s="10" t="n"/>
      <c r="E388" s="10" t="n"/>
      <c r="F388" s="11" t="n"/>
      <c r="G388" s="10" t="n"/>
      <c r="H388" s="12" t="n"/>
      <c r="I388" s="11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3">
        <f>IF(A388="","",IF(AND(N(F388)&gt;=3000,G388&lt;&gt;"Yes"),3,0)+IF(J388="Yes",2,0)+IF(OR(D388="1 venue",D388="2-6 venues"),1,0)+IF(OR(B388="Specialty coffee",B388="Brunch / cafe",B388="Dessert / bakery"),1,0)+IF(AND(N(H388)&gt;=4.3,N(I388)&gt;=50),1,0)+IF(AND(OR(M388&lt;&gt;"",N388&lt;&gt;""),O388&lt;&gt;""),1,0))</f>
        <v/>
      </c>
      <c r="S388" s="13">
        <f>IF(R388="","",IF(R388&gt;=6,"A",IF(R388&gt;=4,"B","C")))</f>
        <v/>
      </c>
      <c r="T388" s="10" t="n"/>
      <c r="U388" s="14" t="n"/>
      <c r="V388" s="10" t="n"/>
      <c r="W388" s="10" t="n"/>
    </row>
    <row r="389">
      <c r="A389" s="10" t="n"/>
      <c r="B389" s="10" t="n"/>
      <c r="C389" s="10" t="n"/>
      <c r="D389" s="10" t="n"/>
      <c r="E389" s="10" t="n"/>
      <c r="F389" s="11" t="n"/>
      <c r="G389" s="10" t="n"/>
      <c r="H389" s="12" t="n"/>
      <c r="I389" s="11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3">
        <f>IF(A389="","",IF(AND(N(F389)&gt;=3000,G389&lt;&gt;"Yes"),3,0)+IF(J389="Yes",2,0)+IF(OR(D389="1 venue",D389="2-6 venues"),1,0)+IF(OR(B389="Specialty coffee",B389="Brunch / cafe",B389="Dessert / bakery"),1,0)+IF(AND(N(H389)&gt;=4.3,N(I389)&gt;=50),1,0)+IF(AND(OR(M389&lt;&gt;"",N389&lt;&gt;""),O389&lt;&gt;""),1,0))</f>
        <v/>
      </c>
      <c r="S389" s="13">
        <f>IF(R389="","",IF(R389&gt;=6,"A",IF(R389&gt;=4,"B","C")))</f>
        <v/>
      </c>
      <c r="T389" s="10" t="n"/>
      <c r="U389" s="14" t="n"/>
      <c r="V389" s="10" t="n"/>
      <c r="W389" s="10" t="n"/>
    </row>
    <row r="390">
      <c r="A390" s="10" t="n"/>
      <c r="B390" s="10" t="n"/>
      <c r="C390" s="10" t="n"/>
      <c r="D390" s="10" t="n"/>
      <c r="E390" s="10" t="n"/>
      <c r="F390" s="11" t="n"/>
      <c r="G390" s="10" t="n"/>
      <c r="H390" s="12" t="n"/>
      <c r="I390" s="11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3">
        <f>IF(A390="","",IF(AND(N(F390)&gt;=3000,G390&lt;&gt;"Yes"),3,0)+IF(J390="Yes",2,0)+IF(OR(D390="1 venue",D390="2-6 venues"),1,0)+IF(OR(B390="Specialty coffee",B390="Brunch / cafe",B390="Dessert / bakery"),1,0)+IF(AND(N(H390)&gt;=4.3,N(I390)&gt;=50),1,0)+IF(AND(OR(M390&lt;&gt;"",N390&lt;&gt;""),O390&lt;&gt;""),1,0))</f>
        <v/>
      </c>
      <c r="S390" s="13">
        <f>IF(R390="","",IF(R390&gt;=6,"A",IF(R390&gt;=4,"B","C")))</f>
        <v/>
      </c>
      <c r="T390" s="10" t="n"/>
      <c r="U390" s="14" t="n"/>
      <c r="V390" s="10" t="n"/>
      <c r="W390" s="10" t="n"/>
    </row>
    <row r="391">
      <c r="A391" s="10" t="n"/>
      <c r="B391" s="10" t="n"/>
      <c r="C391" s="10" t="n"/>
      <c r="D391" s="10" t="n"/>
      <c r="E391" s="10" t="n"/>
      <c r="F391" s="11" t="n"/>
      <c r="G391" s="10" t="n"/>
      <c r="H391" s="12" t="n"/>
      <c r="I391" s="11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3">
        <f>IF(A391="","",IF(AND(N(F391)&gt;=3000,G391&lt;&gt;"Yes"),3,0)+IF(J391="Yes",2,0)+IF(OR(D391="1 venue",D391="2-6 venues"),1,0)+IF(OR(B391="Specialty coffee",B391="Brunch / cafe",B391="Dessert / bakery"),1,0)+IF(AND(N(H391)&gt;=4.3,N(I391)&gt;=50),1,0)+IF(AND(OR(M391&lt;&gt;"",N391&lt;&gt;""),O391&lt;&gt;""),1,0))</f>
        <v/>
      </c>
      <c r="S391" s="13">
        <f>IF(R391="","",IF(R391&gt;=6,"A",IF(R391&gt;=4,"B","C")))</f>
        <v/>
      </c>
      <c r="T391" s="10" t="n"/>
      <c r="U391" s="14" t="n"/>
      <c r="V391" s="10" t="n"/>
      <c r="W391" s="10" t="n"/>
    </row>
    <row r="392">
      <c r="A392" s="10" t="n"/>
      <c r="B392" s="10" t="n"/>
      <c r="C392" s="10" t="n"/>
      <c r="D392" s="10" t="n"/>
      <c r="E392" s="10" t="n"/>
      <c r="F392" s="11" t="n"/>
      <c r="G392" s="10" t="n"/>
      <c r="H392" s="12" t="n"/>
      <c r="I392" s="11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3">
        <f>IF(A392="","",IF(AND(N(F392)&gt;=3000,G392&lt;&gt;"Yes"),3,0)+IF(J392="Yes",2,0)+IF(OR(D392="1 venue",D392="2-6 venues"),1,0)+IF(OR(B392="Specialty coffee",B392="Brunch / cafe",B392="Dessert / bakery"),1,0)+IF(AND(N(H392)&gt;=4.3,N(I392)&gt;=50),1,0)+IF(AND(OR(M392&lt;&gt;"",N392&lt;&gt;""),O392&lt;&gt;""),1,0))</f>
        <v/>
      </c>
      <c r="S392" s="13">
        <f>IF(R392="","",IF(R392&gt;=6,"A",IF(R392&gt;=4,"B","C")))</f>
        <v/>
      </c>
      <c r="T392" s="10" t="n"/>
      <c r="U392" s="14" t="n"/>
      <c r="V392" s="10" t="n"/>
      <c r="W392" s="10" t="n"/>
    </row>
    <row r="393">
      <c r="A393" s="10" t="n"/>
      <c r="B393" s="10" t="n"/>
      <c r="C393" s="10" t="n"/>
      <c r="D393" s="10" t="n"/>
      <c r="E393" s="10" t="n"/>
      <c r="F393" s="11" t="n"/>
      <c r="G393" s="10" t="n"/>
      <c r="H393" s="12" t="n"/>
      <c r="I393" s="11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3">
        <f>IF(A393="","",IF(AND(N(F393)&gt;=3000,G393&lt;&gt;"Yes"),3,0)+IF(J393="Yes",2,0)+IF(OR(D393="1 venue",D393="2-6 venues"),1,0)+IF(OR(B393="Specialty coffee",B393="Brunch / cafe",B393="Dessert / bakery"),1,0)+IF(AND(N(H393)&gt;=4.3,N(I393)&gt;=50),1,0)+IF(AND(OR(M393&lt;&gt;"",N393&lt;&gt;""),O393&lt;&gt;""),1,0))</f>
        <v/>
      </c>
      <c r="S393" s="13">
        <f>IF(R393="","",IF(R393&gt;=6,"A",IF(R393&gt;=4,"B","C")))</f>
        <v/>
      </c>
      <c r="T393" s="10" t="n"/>
      <c r="U393" s="14" t="n"/>
      <c r="V393" s="10" t="n"/>
      <c r="W393" s="10" t="n"/>
    </row>
    <row r="394">
      <c r="A394" s="10" t="n"/>
      <c r="B394" s="10" t="n"/>
      <c r="C394" s="10" t="n"/>
      <c r="D394" s="10" t="n"/>
      <c r="E394" s="10" t="n"/>
      <c r="F394" s="11" t="n"/>
      <c r="G394" s="10" t="n"/>
      <c r="H394" s="12" t="n"/>
      <c r="I394" s="11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3">
        <f>IF(A394="","",IF(AND(N(F394)&gt;=3000,G394&lt;&gt;"Yes"),3,0)+IF(J394="Yes",2,0)+IF(OR(D394="1 venue",D394="2-6 venues"),1,0)+IF(OR(B394="Specialty coffee",B394="Brunch / cafe",B394="Dessert / bakery"),1,0)+IF(AND(N(H394)&gt;=4.3,N(I394)&gt;=50),1,0)+IF(AND(OR(M394&lt;&gt;"",N394&lt;&gt;""),O394&lt;&gt;""),1,0))</f>
        <v/>
      </c>
      <c r="S394" s="13">
        <f>IF(R394="","",IF(R394&gt;=6,"A",IF(R394&gt;=4,"B","C")))</f>
        <v/>
      </c>
      <c r="T394" s="10" t="n"/>
      <c r="U394" s="14" t="n"/>
      <c r="V394" s="10" t="n"/>
      <c r="W394" s="10" t="n"/>
    </row>
    <row r="395">
      <c r="A395" s="10" t="n"/>
      <c r="B395" s="10" t="n"/>
      <c r="C395" s="10" t="n"/>
      <c r="D395" s="10" t="n"/>
      <c r="E395" s="10" t="n"/>
      <c r="F395" s="11" t="n"/>
      <c r="G395" s="10" t="n"/>
      <c r="H395" s="12" t="n"/>
      <c r="I395" s="11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3">
        <f>IF(A395="","",IF(AND(N(F395)&gt;=3000,G395&lt;&gt;"Yes"),3,0)+IF(J395="Yes",2,0)+IF(OR(D395="1 venue",D395="2-6 venues"),1,0)+IF(OR(B395="Specialty coffee",B395="Brunch / cafe",B395="Dessert / bakery"),1,0)+IF(AND(N(H395)&gt;=4.3,N(I395)&gt;=50),1,0)+IF(AND(OR(M395&lt;&gt;"",N395&lt;&gt;""),O395&lt;&gt;""),1,0))</f>
        <v/>
      </c>
      <c r="S395" s="13">
        <f>IF(R395="","",IF(R395&gt;=6,"A",IF(R395&gt;=4,"B","C")))</f>
        <v/>
      </c>
      <c r="T395" s="10" t="n"/>
      <c r="U395" s="14" t="n"/>
      <c r="V395" s="10" t="n"/>
      <c r="W395" s="10" t="n"/>
    </row>
    <row r="396">
      <c r="A396" s="10" t="n"/>
      <c r="B396" s="10" t="n"/>
      <c r="C396" s="10" t="n"/>
      <c r="D396" s="10" t="n"/>
      <c r="E396" s="10" t="n"/>
      <c r="F396" s="11" t="n"/>
      <c r="G396" s="10" t="n"/>
      <c r="H396" s="12" t="n"/>
      <c r="I396" s="11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3">
        <f>IF(A396="","",IF(AND(N(F396)&gt;=3000,G396&lt;&gt;"Yes"),3,0)+IF(J396="Yes",2,0)+IF(OR(D396="1 venue",D396="2-6 venues"),1,0)+IF(OR(B396="Specialty coffee",B396="Brunch / cafe",B396="Dessert / bakery"),1,0)+IF(AND(N(H396)&gt;=4.3,N(I396)&gt;=50),1,0)+IF(AND(OR(M396&lt;&gt;"",N396&lt;&gt;""),O396&lt;&gt;""),1,0))</f>
        <v/>
      </c>
      <c r="S396" s="13">
        <f>IF(R396="","",IF(R396&gt;=6,"A",IF(R396&gt;=4,"B","C")))</f>
        <v/>
      </c>
      <c r="T396" s="10" t="n"/>
      <c r="U396" s="14" t="n"/>
      <c r="V396" s="10" t="n"/>
      <c r="W396" s="10" t="n"/>
    </row>
    <row r="397">
      <c r="A397" s="10" t="n"/>
      <c r="B397" s="10" t="n"/>
      <c r="C397" s="10" t="n"/>
      <c r="D397" s="10" t="n"/>
      <c r="E397" s="10" t="n"/>
      <c r="F397" s="11" t="n"/>
      <c r="G397" s="10" t="n"/>
      <c r="H397" s="12" t="n"/>
      <c r="I397" s="11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3">
        <f>IF(A397="","",IF(AND(N(F397)&gt;=3000,G397&lt;&gt;"Yes"),3,0)+IF(J397="Yes",2,0)+IF(OR(D397="1 venue",D397="2-6 venues"),1,0)+IF(OR(B397="Specialty coffee",B397="Brunch / cafe",B397="Dessert / bakery"),1,0)+IF(AND(N(H397)&gt;=4.3,N(I397)&gt;=50),1,0)+IF(AND(OR(M397&lt;&gt;"",N397&lt;&gt;""),O397&lt;&gt;""),1,0))</f>
        <v/>
      </c>
      <c r="S397" s="13">
        <f>IF(R397="","",IF(R397&gt;=6,"A",IF(R397&gt;=4,"B","C")))</f>
        <v/>
      </c>
      <c r="T397" s="10" t="n"/>
      <c r="U397" s="14" t="n"/>
      <c r="V397" s="10" t="n"/>
      <c r="W397" s="10" t="n"/>
    </row>
    <row r="398">
      <c r="A398" s="10" t="n"/>
      <c r="B398" s="10" t="n"/>
      <c r="C398" s="10" t="n"/>
      <c r="D398" s="10" t="n"/>
      <c r="E398" s="10" t="n"/>
      <c r="F398" s="11" t="n"/>
      <c r="G398" s="10" t="n"/>
      <c r="H398" s="12" t="n"/>
      <c r="I398" s="11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3">
        <f>IF(A398="","",IF(AND(N(F398)&gt;=3000,G398&lt;&gt;"Yes"),3,0)+IF(J398="Yes",2,0)+IF(OR(D398="1 venue",D398="2-6 venues"),1,0)+IF(OR(B398="Specialty coffee",B398="Brunch / cafe",B398="Dessert / bakery"),1,0)+IF(AND(N(H398)&gt;=4.3,N(I398)&gt;=50),1,0)+IF(AND(OR(M398&lt;&gt;"",N398&lt;&gt;""),O398&lt;&gt;""),1,0))</f>
        <v/>
      </c>
      <c r="S398" s="13">
        <f>IF(R398="","",IF(R398&gt;=6,"A",IF(R398&gt;=4,"B","C")))</f>
        <v/>
      </c>
      <c r="T398" s="10" t="n"/>
      <c r="U398" s="14" t="n"/>
      <c r="V398" s="10" t="n"/>
      <c r="W398" s="10" t="n"/>
    </row>
    <row r="399">
      <c r="A399" s="10" t="n"/>
      <c r="B399" s="10" t="n"/>
      <c r="C399" s="10" t="n"/>
      <c r="D399" s="10" t="n"/>
      <c r="E399" s="10" t="n"/>
      <c r="F399" s="11" t="n"/>
      <c r="G399" s="10" t="n"/>
      <c r="H399" s="12" t="n"/>
      <c r="I399" s="11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3">
        <f>IF(A399="","",IF(AND(N(F399)&gt;=3000,G399&lt;&gt;"Yes"),3,0)+IF(J399="Yes",2,0)+IF(OR(D399="1 venue",D399="2-6 venues"),1,0)+IF(OR(B399="Specialty coffee",B399="Brunch / cafe",B399="Dessert / bakery"),1,0)+IF(AND(N(H399)&gt;=4.3,N(I399)&gt;=50),1,0)+IF(AND(OR(M399&lt;&gt;"",N399&lt;&gt;""),O399&lt;&gt;""),1,0))</f>
        <v/>
      </c>
      <c r="S399" s="13">
        <f>IF(R399="","",IF(R399&gt;=6,"A",IF(R399&gt;=4,"B","C")))</f>
        <v/>
      </c>
      <c r="T399" s="10" t="n"/>
      <c r="U399" s="14" t="n"/>
      <c r="V399" s="10" t="n"/>
      <c r="W399" s="10" t="n"/>
    </row>
    <row r="400">
      <c r="A400" s="10" t="n"/>
      <c r="B400" s="10" t="n"/>
      <c r="C400" s="10" t="n"/>
      <c r="D400" s="10" t="n"/>
      <c r="E400" s="10" t="n"/>
      <c r="F400" s="11" t="n"/>
      <c r="G400" s="10" t="n"/>
      <c r="H400" s="12" t="n"/>
      <c r="I400" s="11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3">
        <f>IF(A400="","",IF(AND(N(F400)&gt;=3000,G400&lt;&gt;"Yes"),3,0)+IF(J400="Yes",2,0)+IF(OR(D400="1 venue",D400="2-6 venues"),1,0)+IF(OR(B400="Specialty coffee",B400="Brunch / cafe",B400="Dessert / bakery"),1,0)+IF(AND(N(H400)&gt;=4.3,N(I400)&gt;=50),1,0)+IF(AND(OR(M400&lt;&gt;"",N400&lt;&gt;""),O400&lt;&gt;""),1,0))</f>
        <v/>
      </c>
      <c r="S400" s="13">
        <f>IF(R400="","",IF(R400&gt;=6,"A",IF(R400&gt;=4,"B","C")))</f>
        <v/>
      </c>
      <c r="T400" s="10" t="n"/>
      <c r="U400" s="14" t="n"/>
      <c r="V400" s="10" t="n"/>
      <c r="W400" s="10" t="n"/>
    </row>
    <row r="401">
      <c r="A401" s="10" t="n"/>
      <c r="B401" s="10" t="n"/>
      <c r="C401" s="10" t="n"/>
      <c r="D401" s="10" t="n"/>
      <c r="E401" s="10" t="n"/>
      <c r="F401" s="11" t="n"/>
      <c r="G401" s="10" t="n"/>
      <c r="H401" s="12" t="n"/>
      <c r="I401" s="11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3">
        <f>IF(A401="","",IF(AND(N(F401)&gt;=3000,G401&lt;&gt;"Yes"),3,0)+IF(J401="Yes",2,0)+IF(OR(D401="1 venue",D401="2-6 venues"),1,0)+IF(OR(B401="Specialty coffee",B401="Brunch / cafe",B401="Dessert / bakery"),1,0)+IF(AND(N(H401)&gt;=4.3,N(I401)&gt;=50),1,0)+IF(AND(OR(M401&lt;&gt;"",N401&lt;&gt;""),O401&lt;&gt;""),1,0))</f>
        <v/>
      </c>
      <c r="S401" s="13">
        <f>IF(R401="","",IF(R401&gt;=6,"A",IF(R401&gt;=4,"B","C")))</f>
        <v/>
      </c>
      <c r="T401" s="10" t="n"/>
      <c r="U401" s="14" t="n"/>
      <c r="V401" s="10" t="n"/>
      <c r="W401" s="10" t="n"/>
    </row>
    <row r="402">
      <c r="A402" s="10" t="n"/>
      <c r="B402" s="10" t="n"/>
      <c r="C402" s="10" t="n"/>
      <c r="D402" s="10" t="n"/>
      <c r="E402" s="10" t="n"/>
      <c r="F402" s="11" t="n"/>
      <c r="G402" s="10" t="n"/>
      <c r="H402" s="12" t="n"/>
      <c r="I402" s="11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3">
        <f>IF(A402="","",IF(AND(N(F402)&gt;=3000,G402&lt;&gt;"Yes"),3,0)+IF(J402="Yes",2,0)+IF(OR(D402="1 venue",D402="2-6 venues"),1,0)+IF(OR(B402="Specialty coffee",B402="Brunch / cafe",B402="Dessert / bakery"),1,0)+IF(AND(N(H402)&gt;=4.3,N(I402)&gt;=50),1,0)+IF(AND(OR(M402&lt;&gt;"",N402&lt;&gt;""),O402&lt;&gt;""),1,0))</f>
        <v/>
      </c>
      <c r="S402" s="13">
        <f>IF(R402="","",IF(R402&gt;=6,"A",IF(R402&gt;=4,"B","C")))</f>
        <v/>
      </c>
      <c r="T402" s="10" t="n"/>
      <c r="U402" s="14" t="n"/>
      <c r="V402" s="10" t="n"/>
      <c r="W402" s="10" t="n"/>
    </row>
    <row r="403">
      <c r="A403" s="10" t="n"/>
      <c r="B403" s="10" t="n"/>
      <c r="C403" s="10" t="n"/>
      <c r="D403" s="10" t="n"/>
      <c r="E403" s="10" t="n"/>
      <c r="F403" s="11" t="n"/>
      <c r="G403" s="10" t="n"/>
      <c r="H403" s="12" t="n"/>
      <c r="I403" s="11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3">
        <f>IF(A403="","",IF(AND(N(F403)&gt;=3000,G403&lt;&gt;"Yes"),3,0)+IF(J403="Yes",2,0)+IF(OR(D403="1 venue",D403="2-6 venues"),1,0)+IF(OR(B403="Specialty coffee",B403="Brunch / cafe",B403="Dessert / bakery"),1,0)+IF(AND(N(H403)&gt;=4.3,N(I403)&gt;=50),1,0)+IF(AND(OR(M403&lt;&gt;"",N403&lt;&gt;""),O403&lt;&gt;""),1,0))</f>
        <v/>
      </c>
      <c r="S403" s="13">
        <f>IF(R403="","",IF(R403&gt;=6,"A",IF(R403&gt;=4,"B","C")))</f>
        <v/>
      </c>
      <c r="T403" s="10" t="n"/>
      <c r="U403" s="14" t="n"/>
      <c r="V403" s="10" t="n"/>
      <c r="W403" s="10" t="n"/>
    </row>
    <row r="404">
      <c r="A404" s="10" t="n"/>
      <c r="B404" s="10" t="n"/>
      <c r="C404" s="10" t="n"/>
      <c r="D404" s="10" t="n"/>
      <c r="E404" s="10" t="n"/>
      <c r="F404" s="11" t="n"/>
      <c r="G404" s="10" t="n"/>
      <c r="H404" s="12" t="n"/>
      <c r="I404" s="11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3">
        <f>IF(A404="","",IF(AND(N(F404)&gt;=3000,G404&lt;&gt;"Yes"),3,0)+IF(J404="Yes",2,0)+IF(OR(D404="1 venue",D404="2-6 venues"),1,0)+IF(OR(B404="Specialty coffee",B404="Brunch / cafe",B404="Dessert / bakery"),1,0)+IF(AND(N(H404)&gt;=4.3,N(I404)&gt;=50),1,0)+IF(AND(OR(M404&lt;&gt;"",N404&lt;&gt;""),O404&lt;&gt;""),1,0))</f>
        <v/>
      </c>
      <c r="S404" s="13">
        <f>IF(R404="","",IF(R404&gt;=6,"A",IF(R404&gt;=4,"B","C")))</f>
        <v/>
      </c>
      <c r="T404" s="10" t="n"/>
      <c r="U404" s="14" t="n"/>
      <c r="V404" s="10" t="n"/>
      <c r="W404" s="10" t="n"/>
    </row>
    <row r="405">
      <c r="A405" s="10" t="n"/>
      <c r="B405" s="10" t="n"/>
      <c r="C405" s="10" t="n"/>
      <c r="D405" s="10" t="n"/>
      <c r="E405" s="10" t="n"/>
      <c r="F405" s="11" t="n"/>
      <c r="G405" s="10" t="n"/>
      <c r="H405" s="12" t="n"/>
      <c r="I405" s="11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3">
        <f>IF(A405="","",IF(AND(N(F405)&gt;=3000,G405&lt;&gt;"Yes"),3,0)+IF(J405="Yes",2,0)+IF(OR(D405="1 venue",D405="2-6 venues"),1,0)+IF(OR(B405="Specialty coffee",B405="Brunch / cafe",B405="Dessert / bakery"),1,0)+IF(AND(N(H405)&gt;=4.3,N(I405)&gt;=50),1,0)+IF(AND(OR(M405&lt;&gt;"",N405&lt;&gt;""),O405&lt;&gt;""),1,0))</f>
        <v/>
      </c>
      <c r="S405" s="13">
        <f>IF(R405="","",IF(R405&gt;=6,"A",IF(R405&gt;=4,"B","C")))</f>
        <v/>
      </c>
      <c r="T405" s="10" t="n"/>
      <c r="U405" s="14" t="n"/>
      <c r="V405" s="10" t="n"/>
      <c r="W405" s="10" t="n"/>
    </row>
    <row r="406">
      <c r="A406" s="10" t="n"/>
      <c r="B406" s="10" t="n"/>
      <c r="C406" s="10" t="n"/>
      <c r="D406" s="10" t="n"/>
      <c r="E406" s="10" t="n"/>
      <c r="F406" s="11" t="n"/>
      <c r="G406" s="10" t="n"/>
      <c r="H406" s="12" t="n"/>
      <c r="I406" s="11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3">
        <f>IF(A406="","",IF(AND(N(F406)&gt;=3000,G406&lt;&gt;"Yes"),3,0)+IF(J406="Yes",2,0)+IF(OR(D406="1 venue",D406="2-6 venues"),1,0)+IF(OR(B406="Specialty coffee",B406="Brunch / cafe",B406="Dessert / bakery"),1,0)+IF(AND(N(H406)&gt;=4.3,N(I406)&gt;=50),1,0)+IF(AND(OR(M406&lt;&gt;"",N406&lt;&gt;""),O406&lt;&gt;""),1,0))</f>
        <v/>
      </c>
      <c r="S406" s="13">
        <f>IF(R406="","",IF(R406&gt;=6,"A",IF(R406&gt;=4,"B","C")))</f>
        <v/>
      </c>
      <c r="T406" s="10" t="n"/>
      <c r="U406" s="14" t="n"/>
      <c r="V406" s="10" t="n"/>
      <c r="W406" s="10" t="n"/>
    </row>
    <row r="407">
      <c r="A407" s="10" t="n"/>
      <c r="B407" s="10" t="n"/>
      <c r="C407" s="10" t="n"/>
      <c r="D407" s="10" t="n"/>
      <c r="E407" s="10" t="n"/>
      <c r="F407" s="11" t="n"/>
      <c r="G407" s="10" t="n"/>
      <c r="H407" s="12" t="n"/>
      <c r="I407" s="11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3">
        <f>IF(A407="","",IF(AND(N(F407)&gt;=3000,G407&lt;&gt;"Yes"),3,0)+IF(J407="Yes",2,0)+IF(OR(D407="1 venue",D407="2-6 venues"),1,0)+IF(OR(B407="Specialty coffee",B407="Brunch / cafe",B407="Dessert / bakery"),1,0)+IF(AND(N(H407)&gt;=4.3,N(I407)&gt;=50),1,0)+IF(AND(OR(M407&lt;&gt;"",N407&lt;&gt;""),O407&lt;&gt;""),1,0))</f>
        <v/>
      </c>
      <c r="S407" s="13">
        <f>IF(R407="","",IF(R407&gt;=6,"A",IF(R407&gt;=4,"B","C")))</f>
        <v/>
      </c>
      <c r="T407" s="10" t="n"/>
      <c r="U407" s="14" t="n"/>
      <c r="V407" s="10" t="n"/>
      <c r="W407" s="10" t="n"/>
    </row>
    <row r="408">
      <c r="A408" s="10" t="n"/>
      <c r="B408" s="10" t="n"/>
      <c r="C408" s="10" t="n"/>
      <c r="D408" s="10" t="n"/>
      <c r="E408" s="10" t="n"/>
      <c r="F408" s="11" t="n"/>
      <c r="G408" s="10" t="n"/>
      <c r="H408" s="12" t="n"/>
      <c r="I408" s="11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3">
        <f>IF(A408="","",IF(AND(N(F408)&gt;=3000,G408&lt;&gt;"Yes"),3,0)+IF(J408="Yes",2,0)+IF(OR(D408="1 venue",D408="2-6 venues"),1,0)+IF(OR(B408="Specialty coffee",B408="Brunch / cafe",B408="Dessert / bakery"),1,0)+IF(AND(N(H408)&gt;=4.3,N(I408)&gt;=50),1,0)+IF(AND(OR(M408&lt;&gt;"",N408&lt;&gt;""),O408&lt;&gt;""),1,0))</f>
        <v/>
      </c>
      <c r="S408" s="13">
        <f>IF(R408="","",IF(R408&gt;=6,"A",IF(R408&gt;=4,"B","C")))</f>
        <v/>
      </c>
      <c r="T408" s="10" t="n"/>
      <c r="U408" s="14" t="n"/>
      <c r="V408" s="10" t="n"/>
      <c r="W408" s="10" t="n"/>
    </row>
    <row r="409">
      <c r="A409" s="10" t="n"/>
      <c r="B409" s="10" t="n"/>
      <c r="C409" s="10" t="n"/>
      <c r="D409" s="10" t="n"/>
      <c r="E409" s="10" t="n"/>
      <c r="F409" s="11" t="n"/>
      <c r="G409" s="10" t="n"/>
      <c r="H409" s="12" t="n"/>
      <c r="I409" s="11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3">
        <f>IF(A409="","",IF(AND(N(F409)&gt;=3000,G409&lt;&gt;"Yes"),3,0)+IF(J409="Yes",2,0)+IF(OR(D409="1 venue",D409="2-6 venues"),1,0)+IF(OR(B409="Specialty coffee",B409="Brunch / cafe",B409="Dessert / bakery"),1,0)+IF(AND(N(H409)&gt;=4.3,N(I409)&gt;=50),1,0)+IF(AND(OR(M409&lt;&gt;"",N409&lt;&gt;""),O409&lt;&gt;""),1,0))</f>
        <v/>
      </c>
      <c r="S409" s="13">
        <f>IF(R409="","",IF(R409&gt;=6,"A",IF(R409&gt;=4,"B","C")))</f>
        <v/>
      </c>
      <c r="T409" s="10" t="n"/>
      <c r="U409" s="14" t="n"/>
      <c r="V409" s="10" t="n"/>
      <c r="W409" s="10" t="n"/>
    </row>
    <row r="410">
      <c r="A410" s="10" t="n"/>
      <c r="B410" s="10" t="n"/>
      <c r="C410" s="10" t="n"/>
      <c r="D410" s="10" t="n"/>
      <c r="E410" s="10" t="n"/>
      <c r="F410" s="11" t="n"/>
      <c r="G410" s="10" t="n"/>
      <c r="H410" s="12" t="n"/>
      <c r="I410" s="11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3">
        <f>IF(A410="","",IF(AND(N(F410)&gt;=3000,G410&lt;&gt;"Yes"),3,0)+IF(J410="Yes",2,0)+IF(OR(D410="1 venue",D410="2-6 venues"),1,0)+IF(OR(B410="Specialty coffee",B410="Brunch / cafe",B410="Dessert / bakery"),1,0)+IF(AND(N(H410)&gt;=4.3,N(I410)&gt;=50),1,0)+IF(AND(OR(M410&lt;&gt;"",N410&lt;&gt;""),O410&lt;&gt;""),1,0))</f>
        <v/>
      </c>
      <c r="S410" s="13">
        <f>IF(R410="","",IF(R410&gt;=6,"A",IF(R410&gt;=4,"B","C")))</f>
        <v/>
      </c>
      <c r="T410" s="10" t="n"/>
      <c r="U410" s="14" t="n"/>
      <c r="V410" s="10" t="n"/>
      <c r="W410" s="10" t="n"/>
    </row>
    <row r="411">
      <c r="A411" s="10" t="n"/>
      <c r="B411" s="10" t="n"/>
      <c r="C411" s="10" t="n"/>
      <c r="D411" s="10" t="n"/>
      <c r="E411" s="10" t="n"/>
      <c r="F411" s="11" t="n"/>
      <c r="G411" s="10" t="n"/>
      <c r="H411" s="12" t="n"/>
      <c r="I411" s="11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3">
        <f>IF(A411="","",IF(AND(N(F411)&gt;=3000,G411&lt;&gt;"Yes"),3,0)+IF(J411="Yes",2,0)+IF(OR(D411="1 venue",D411="2-6 venues"),1,0)+IF(OR(B411="Specialty coffee",B411="Brunch / cafe",B411="Dessert / bakery"),1,0)+IF(AND(N(H411)&gt;=4.3,N(I411)&gt;=50),1,0)+IF(AND(OR(M411&lt;&gt;"",N411&lt;&gt;""),O411&lt;&gt;""),1,0))</f>
        <v/>
      </c>
      <c r="S411" s="13">
        <f>IF(R411="","",IF(R411&gt;=6,"A",IF(R411&gt;=4,"B","C")))</f>
        <v/>
      </c>
      <c r="T411" s="10" t="n"/>
      <c r="U411" s="14" t="n"/>
      <c r="V411" s="10" t="n"/>
      <c r="W411" s="10" t="n"/>
    </row>
    <row r="412">
      <c r="A412" s="10" t="n"/>
      <c r="B412" s="10" t="n"/>
      <c r="C412" s="10" t="n"/>
      <c r="D412" s="10" t="n"/>
      <c r="E412" s="10" t="n"/>
      <c r="F412" s="11" t="n"/>
      <c r="G412" s="10" t="n"/>
      <c r="H412" s="12" t="n"/>
      <c r="I412" s="11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3">
        <f>IF(A412="","",IF(AND(N(F412)&gt;=3000,G412&lt;&gt;"Yes"),3,0)+IF(J412="Yes",2,0)+IF(OR(D412="1 venue",D412="2-6 venues"),1,0)+IF(OR(B412="Specialty coffee",B412="Brunch / cafe",B412="Dessert / bakery"),1,0)+IF(AND(N(H412)&gt;=4.3,N(I412)&gt;=50),1,0)+IF(AND(OR(M412&lt;&gt;"",N412&lt;&gt;""),O412&lt;&gt;""),1,0))</f>
        <v/>
      </c>
      <c r="S412" s="13">
        <f>IF(R412="","",IF(R412&gt;=6,"A",IF(R412&gt;=4,"B","C")))</f>
        <v/>
      </c>
      <c r="T412" s="10" t="n"/>
      <c r="U412" s="14" t="n"/>
      <c r="V412" s="10" t="n"/>
      <c r="W412" s="10" t="n"/>
    </row>
    <row r="413">
      <c r="A413" s="10" t="n"/>
      <c r="B413" s="10" t="n"/>
      <c r="C413" s="10" t="n"/>
      <c r="D413" s="10" t="n"/>
      <c r="E413" s="10" t="n"/>
      <c r="F413" s="11" t="n"/>
      <c r="G413" s="10" t="n"/>
      <c r="H413" s="12" t="n"/>
      <c r="I413" s="11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3">
        <f>IF(A413="","",IF(AND(N(F413)&gt;=3000,G413&lt;&gt;"Yes"),3,0)+IF(J413="Yes",2,0)+IF(OR(D413="1 venue",D413="2-6 venues"),1,0)+IF(OR(B413="Specialty coffee",B413="Brunch / cafe",B413="Dessert / bakery"),1,0)+IF(AND(N(H413)&gt;=4.3,N(I413)&gt;=50),1,0)+IF(AND(OR(M413&lt;&gt;"",N413&lt;&gt;""),O413&lt;&gt;""),1,0))</f>
        <v/>
      </c>
      <c r="S413" s="13">
        <f>IF(R413="","",IF(R413&gt;=6,"A",IF(R413&gt;=4,"B","C")))</f>
        <v/>
      </c>
      <c r="T413" s="10" t="n"/>
      <c r="U413" s="14" t="n"/>
      <c r="V413" s="10" t="n"/>
      <c r="W413" s="10" t="n"/>
    </row>
    <row r="414">
      <c r="A414" s="10" t="n"/>
      <c r="B414" s="10" t="n"/>
      <c r="C414" s="10" t="n"/>
      <c r="D414" s="10" t="n"/>
      <c r="E414" s="10" t="n"/>
      <c r="F414" s="11" t="n"/>
      <c r="G414" s="10" t="n"/>
      <c r="H414" s="12" t="n"/>
      <c r="I414" s="11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3">
        <f>IF(A414="","",IF(AND(N(F414)&gt;=3000,G414&lt;&gt;"Yes"),3,0)+IF(J414="Yes",2,0)+IF(OR(D414="1 venue",D414="2-6 venues"),1,0)+IF(OR(B414="Specialty coffee",B414="Brunch / cafe",B414="Dessert / bakery"),1,0)+IF(AND(N(H414)&gt;=4.3,N(I414)&gt;=50),1,0)+IF(AND(OR(M414&lt;&gt;"",N414&lt;&gt;""),O414&lt;&gt;""),1,0))</f>
        <v/>
      </c>
      <c r="S414" s="13">
        <f>IF(R414="","",IF(R414&gt;=6,"A",IF(R414&gt;=4,"B","C")))</f>
        <v/>
      </c>
      <c r="T414" s="10" t="n"/>
      <c r="U414" s="14" t="n"/>
      <c r="V414" s="10" t="n"/>
      <c r="W414" s="10" t="n"/>
    </row>
    <row r="415">
      <c r="A415" s="10" t="n"/>
      <c r="B415" s="10" t="n"/>
      <c r="C415" s="10" t="n"/>
      <c r="D415" s="10" t="n"/>
      <c r="E415" s="10" t="n"/>
      <c r="F415" s="11" t="n"/>
      <c r="G415" s="10" t="n"/>
      <c r="H415" s="12" t="n"/>
      <c r="I415" s="11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3">
        <f>IF(A415="","",IF(AND(N(F415)&gt;=3000,G415&lt;&gt;"Yes"),3,0)+IF(J415="Yes",2,0)+IF(OR(D415="1 venue",D415="2-6 venues"),1,0)+IF(OR(B415="Specialty coffee",B415="Brunch / cafe",B415="Dessert / bakery"),1,0)+IF(AND(N(H415)&gt;=4.3,N(I415)&gt;=50),1,0)+IF(AND(OR(M415&lt;&gt;"",N415&lt;&gt;""),O415&lt;&gt;""),1,0))</f>
        <v/>
      </c>
      <c r="S415" s="13">
        <f>IF(R415="","",IF(R415&gt;=6,"A",IF(R415&gt;=4,"B","C")))</f>
        <v/>
      </c>
      <c r="T415" s="10" t="n"/>
      <c r="U415" s="14" t="n"/>
      <c r="V415" s="10" t="n"/>
      <c r="W415" s="10" t="n"/>
    </row>
    <row r="416">
      <c r="A416" s="10" t="n"/>
      <c r="B416" s="10" t="n"/>
      <c r="C416" s="10" t="n"/>
      <c r="D416" s="10" t="n"/>
      <c r="E416" s="10" t="n"/>
      <c r="F416" s="11" t="n"/>
      <c r="G416" s="10" t="n"/>
      <c r="H416" s="12" t="n"/>
      <c r="I416" s="11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3">
        <f>IF(A416="","",IF(AND(N(F416)&gt;=3000,G416&lt;&gt;"Yes"),3,0)+IF(J416="Yes",2,0)+IF(OR(D416="1 venue",D416="2-6 venues"),1,0)+IF(OR(B416="Specialty coffee",B416="Brunch / cafe",B416="Dessert / bakery"),1,0)+IF(AND(N(H416)&gt;=4.3,N(I416)&gt;=50),1,0)+IF(AND(OR(M416&lt;&gt;"",N416&lt;&gt;""),O416&lt;&gt;""),1,0))</f>
        <v/>
      </c>
      <c r="S416" s="13">
        <f>IF(R416="","",IF(R416&gt;=6,"A",IF(R416&gt;=4,"B","C")))</f>
        <v/>
      </c>
      <c r="T416" s="10" t="n"/>
      <c r="U416" s="14" t="n"/>
      <c r="V416" s="10" t="n"/>
      <c r="W416" s="10" t="n"/>
    </row>
    <row r="417">
      <c r="A417" s="10" t="n"/>
      <c r="B417" s="10" t="n"/>
      <c r="C417" s="10" t="n"/>
      <c r="D417" s="10" t="n"/>
      <c r="E417" s="10" t="n"/>
      <c r="F417" s="11" t="n"/>
      <c r="G417" s="10" t="n"/>
      <c r="H417" s="12" t="n"/>
      <c r="I417" s="11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3">
        <f>IF(A417="","",IF(AND(N(F417)&gt;=3000,G417&lt;&gt;"Yes"),3,0)+IF(J417="Yes",2,0)+IF(OR(D417="1 venue",D417="2-6 venues"),1,0)+IF(OR(B417="Specialty coffee",B417="Brunch / cafe",B417="Dessert / bakery"),1,0)+IF(AND(N(H417)&gt;=4.3,N(I417)&gt;=50),1,0)+IF(AND(OR(M417&lt;&gt;"",N417&lt;&gt;""),O417&lt;&gt;""),1,0))</f>
        <v/>
      </c>
      <c r="S417" s="13">
        <f>IF(R417="","",IF(R417&gt;=6,"A",IF(R417&gt;=4,"B","C")))</f>
        <v/>
      </c>
      <c r="T417" s="10" t="n"/>
      <c r="U417" s="14" t="n"/>
      <c r="V417" s="10" t="n"/>
      <c r="W417" s="10" t="n"/>
    </row>
    <row r="418">
      <c r="A418" s="10" t="n"/>
      <c r="B418" s="10" t="n"/>
      <c r="C418" s="10" t="n"/>
      <c r="D418" s="10" t="n"/>
      <c r="E418" s="10" t="n"/>
      <c r="F418" s="11" t="n"/>
      <c r="G418" s="10" t="n"/>
      <c r="H418" s="12" t="n"/>
      <c r="I418" s="11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3">
        <f>IF(A418="","",IF(AND(N(F418)&gt;=3000,G418&lt;&gt;"Yes"),3,0)+IF(J418="Yes",2,0)+IF(OR(D418="1 venue",D418="2-6 venues"),1,0)+IF(OR(B418="Specialty coffee",B418="Brunch / cafe",B418="Dessert / bakery"),1,0)+IF(AND(N(H418)&gt;=4.3,N(I418)&gt;=50),1,0)+IF(AND(OR(M418&lt;&gt;"",N418&lt;&gt;""),O418&lt;&gt;""),1,0))</f>
        <v/>
      </c>
      <c r="S418" s="13">
        <f>IF(R418="","",IF(R418&gt;=6,"A",IF(R418&gt;=4,"B","C")))</f>
        <v/>
      </c>
      <c r="T418" s="10" t="n"/>
      <c r="U418" s="14" t="n"/>
      <c r="V418" s="10" t="n"/>
      <c r="W418" s="10" t="n"/>
    </row>
    <row r="419">
      <c r="A419" s="10" t="n"/>
      <c r="B419" s="10" t="n"/>
      <c r="C419" s="10" t="n"/>
      <c r="D419" s="10" t="n"/>
      <c r="E419" s="10" t="n"/>
      <c r="F419" s="11" t="n"/>
      <c r="G419" s="10" t="n"/>
      <c r="H419" s="12" t="n"/>
      <c r="I419" s="11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3">
        <f>IF(A419="","",IF(AND(N(F419)&gt;=3000,G419&lt;&gt;"Yes"),3,0)+IF(J419="Yes",2,0)+IF(OR(D419="1 venue",D419="2-6 venues"),1,0)+IF(OR(B419="Specialty coffee",B419="Brunch / cafe",B419="Dessert / bakery"),1,0)+IF(AND(N(H419)&gt;=4.3,N(I419)&gt;=50),1,0)+IF(AND(OR(M419&lt;&gt;"",N419&lt;&gt;""),O419&lt;&gt;""),1,0))</f>
        <v/>
      </c>
      <c r="S419" s="13">
        <f>IF(R419="","",IF(R419&gt;=6,"A",IF(R419&gt;=4,"B","C")))</f>
        <v/>
      </c>
      <c r="T419" s="10" t="n"/>
      <c r="U419" s="14" t="n"/>
      <c r="V419" s="10" t="n"/>
      <c r="W419" s="10" t="n"/>
    </row>
    <row r="420">
      <c r="A420" s="10" t="n"/>
      <c r="B420" s="10" t="n"/>
      <c r="C420" s="10" t="n"/>
      <c r="D420" s="10" t="n"/>
      <c r="E420" s="10" t="n"/>
      <c r="F420" s="11" t="n"/>
      <c r="G420" s="10" t="n"/>
      <c r="H420" s="12" t="n"/>
      <c r="I420" s="11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3">
        <f>IF(A420="","",IF(AND(N(F420)&gt;=3000,G420&lt;&gt;"Yes"),3,0)+IF(J420="Yes",2,0)+IF(OR(D420="1 venue",D420="2-6 venues"),1,0)+IF(OR(B420="Specialty coffee",B420="Brunch / cafe",B420="Dessert / bakery"),1,0)+IF(AND(N(H420)&gt;=4.3,N(I420)&gt;=50),1,0)+IF(AND(OR(M420&lt;&gt;"",N420&lt;&gt;""),O420&lt;&gt;""),1,0))</f>
        <v/>
      </c>
      <c r="S420" s="13">
        <f>IF(R420="","",IF(R420&gt;=6,"A",IF(R420&gt;=4,"B","C")))</f>
        <v/>
      </c>
      <c r="T420" s="10" t="n"/>
      <c r="U420" s="14" t="n"/>
      <c r="V420" s="10" t="n"/>
      <c r="W420" s="10" t="n"/>
    </row>
    <row r="421">
      <c r="A421" s="10" t="n"/>
      <c r="B421" s="10" t="n"/>
      <c r="C421" s="10" t="n"/>
      <c r="D421" s="10" t="n"/>
      <c r="E421" s="10" t="n"/>
      <c r="F421" s="11" t="n"/>
      <c r="G421" s="10" t="n"/>
      <c r="H421" s="12" t="n"/>
      <c r="I421" s="11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3">
        <f>IF(A421="","",IF(AND(N(F421)&gt;=3000,G421&lt;&gt;"Yes"),3,0)+IF(J421="Yes",2,0)+IF(OR(D421="1 venue",D421="2-6 venues"),1,0)+IF(OR(B421="Specialty coffee",B421="Brunch / cafe",B421="Dessert / bakery"),1,0)+IF(AND(N(H421)&gt;=4.3,N(I421)&gt;=50),1,0)+IF(AND(OR(M421&lt;&gt;"",N421&lt;&gt;""),O421&lt;&gt;""),1,0))</f>
        <v/>
      </c>
      <c r="S421" s="13">
        <f>IF(R421="","",IF(R421&gt;=6,"A",IF(R421&gt;=4,"B","C")))</f>
        <v/>
      </c>
      <c r="T421" s="10" t="n"/>
      <c r="U421" s="14" t="n"/>
      <c r="V421" s="10" t="n"/>
      <c r="W421" s="10" t="n"/>
    </row>
    <row r="422">
      <c r="A422" s="10" t="n"/>
      <c r="B422" s="10" t="n"/>
      <c r="C422" s="10" t="n"/>
      <c r="D422" s="10" t="n"/>
      <c r="E422" s="10" t="n"/>
      <c r="F422" s="11" t="n"/>
      <c r="G422" s="10" t="n"/>
      <c r="H422" s="12" t="n"/>
      <c r="I422" s="11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3">
        <f>IF(A422="","",IF(AND(N(F422)&gt;=3000,G422&lt;&gt;"Yes"),3,0)+IF(J422="Yes",2,0)+IF(OR(D422="1 venue",D422="2-6 venues"),1,0)+IF(OR(B422="Specialty coffee",B422="Brunch / cafe",B422="Dessert / bakery"),1,0)+IF(AND(N(H422)&gt;=4.3,N(I422)&gt;=50),1,0)+IF(AND(OR(M422&lt;&gt;"",N422&lt;&gt;""),O422&lt;&gt;""),1,0))</f>
        <v/>
      </c>
      <c r="S422" s="13">
        <f>IF(R422="","",IF(R422&gt;=6,"A",IF(R422&gt;=4,"B","C")))</f>
        <v/>
      </c>
      <c r="T422" s="10" t="n"/>
      <c r="U422" s="14" t="n"/>
      <c r="V422" s="10" t="n"/>
      <c r="W422" s="10" t="n"/>
    </row>
    <row r="423">
      <c r="A423" s="10" t="n"/>
      <c r="B423" s="10" t="n"/>
      <c r="C423" s="10" t="n"/>
      <c r="D423" s="10" t="n"/>
      <c r="E423" s="10" t="n"/>
      <c r="F423" s="11" t="n"/>
      <c r="G423" s="10" t="n"/>
      <c r="H423" s="12" t="n"/>
      <c r="I423" s="11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3">
        <f>IF(A423="","",IF(AND(N(F423)&gt;=3000,G423&lt;&gt;"Yes"),3,0)+IF(J423="Yes",2,0)+IF(OR(D423="1 venue",D423="2-6 venues"),1,0)+IF(OR(B423="Specialty coffee",B423="Brunch / cafe",B423="Dessert / bakery"),1,0)+IF(AND(N(H423)&gt;=4.3,N(I423)&gt;=50),1,0)+IF(AND(OR(M423&lt;&gt;"",N423&lt;&gt;""),O423&lt;&gt;""),1,0))</f>
        <v/>
      </c>
      <c r="S423" s="13">
        <f>IF(R423="","",IF(R423&gt;=6,"A",IF(R423&gt;=4,"B","C")))</f>
        <v/>
      </c>
      <c r="T423" s="10" t="n"/>
      <c r="U423" s="14" t="n"/>
      <c r="V423" s="10" t="n"/>
      <c r="W423" s="10" t="n"/>
    </row>
    <row r="424">
      <c r="A424" s="10" t="n"/>
      <c r="B424" s="10" t="n"/>
      <c r="C424" s="10" t="n"/>
      <c r="D424" s="10" t="n"/>
      <c r="E424" s="10" t="n"/>
      <c r="F424" s="11" t="n"/>
      <c r="G424" s="10" t="n"/>
      <c r="H424" s="12" t="n"/>
      <c r="I424" s="11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3">
        <f>IF(A424="","",IF(AND(N(F424)&gt;=3000,G424&lt;&gt;"Yes"),3,0)+IF(J424="Yes",2,0)+IF(OR(D424="1 venue",D424="2-6 venues"),1,0)+IF(OR(B424="Specialty coffee",B424="Brunch / cafe",B424="Dessert / bakery"),1,0)+IF(AND(N(H424)&gt;=4.3,N(I424)&gt;=50),1,0)+IF(AND(OR(M424&lt;&gt;"",N424&lt;&gt;""),O424&lt;&gt;""),1,0))</f>
        <v/>
      </c>
      <c r="S424" s="13">
        <f>IF(R424="","",IF(R424&gt;=6,"A",IF(R424&gt;=4,"B","C")))</f>
        <v/>
      </c>
      <c r="T424" s="10" t="n"/>
      <c r="U424" s="14" t="n"/>
      <c r="V424" s="10" t="n"/>
      <c r="W424" s="10" t="n"/>
    </row>
    <row r="425">
      <c r="A425" s="10" t="n"/>
      <c r="B425" s="10" t="n"/>
      <c r="C425" s="10" t="n"/>
      <c r="D425" s="10" t="n"/>
      <c r="E425" s="10" t="n"/>
      <c r="F425" s="11" t="n"/>
      <c r="G425" s="10" t="n"/>
      <c r="H425" s="12" t="n"/>
      <c r="I425" s="11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3">
        <f>IF(A425="","",IF(AND(N(F425)&gt;=3000,G425&lt;&gt;"Yes"),3,0)+IF(J425="Yes",2,0)+IF(OR(D425="1 venue",D425="2-6 venues"),1,0)+IF(OR(B425="Specialty coffee",B425="Brunch / cafe",B425="Dessert / bakery"),1,0)+IF(AND(N(H425)&gt;=4.3,N(I425)&gt;=50),1,0)+IF(AND(OR(M425&lt;&gt;"",N425&lt;&gt;""),O425&lt;&gt;""),1,0))</f>
        <v/>
      </c>
      <c r="S425" s="13">
        <f>IF(R425="","",IF(R425&gt;=6,"A",IF(R425&gt;=4,"B","C")))</f>
        <v/>
      </c>
      <c r="T425" s="10" t="n"/>
      <c r="U425" s="14" t="n"/>
      <c r="V425" s="10" t="n"/>
      <c r="W425" s="10" t="n"/>
    </row>
    <row r="426">
      <c r="A426" s="10" t="n"/>
      <c r="B426" s="10" t="n"/>
      <c r="C426" s="10" t="n"/>
      <c r="D426" s="10" t="n"/>
      <c r="E426" s="10" t="n"/>
      <c r="F426" s="11" t="n"/>
      <c r="G426" s="10" t="n"/>
      <c r="H426" s="12" t="n"/>
      <c r="I426" s="11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3">
        <f>IF(A426="","",IF(AND(N(F426)&gt;=3000,G426&lt;&gt;"Yes"),3,0)+IF(J426="Yes",2,0)+IF(OR(D426="1 venue",D426="2-6 venues"),1,0)+IF(OR(B426="Specialty coffee",B426="Brunch / cafe",B426="Dessert / bakery"),1,0)+IF(AND(N(H426)&gt;=4.3,N(I426)&gt;=50),1,0)+IF(AND(OR(M426&lt;&gt;"",N426&lt;&gt;""),O426&lt;&gt;""),1,0))</f>
        <v/>
      </c>
      <c r="S426" s="13">
        <f>IF(R426="","",IF(R426&gt;=6,"A",IF(R426&gt;=4,"B","C")))</f>
        <v/>
      </c>
      <c r="T426" s="10" t="n"/>
      <c r="U426" s="14" t="n"/>
      <c r="V426" s="10" t="n"/>
      <c r="W426" s="10" t="n"/>
    </row>
    <row r="427">
      <c r="A427" s="10" t="n"/>
      <c r="B427" s="10" t="n"/>
      <c r="C427" s="10" t="n"/>
      <c r="D427" s="10" t="n"/>
      <c r="E427" s="10" t="n"/>
      <c r="F427" s="11" t="n"/>
      <c r="G427" s="10" t="n"/>
      <c r="H427" s="12" t="n"/>
      <c r="I427" s="11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3">
        <f>IF(A427="","",IF(AND(N(F427)&gt;=3000,G427&lt;&gt;"Yes"),3,0)+IF(J427="Yes",2,0)+IF(OR(D427="1 venue",D427="2-6 venues"),1,0)+IF(OR(B427="Specialty coffee",B427="Brunch / cafe",B427="Dessert / bakery"),1,0)+IF(AND(N(H427)&gt;=4.3,N(I427)&gt;=50),1,0)+IF(AND(OR(M427&lt;&gt;"",N427&lt;&gt;""),O427&lt;&gt;""),1,0))</f>
        <v/>
      </c>
      <c r="S427" s="13">
        <f>IF(R427="","",IF(R427&gt;=6,"A",IF(R427&gt;=4,"B","C")))</f>
        <v/>
      </c>
      <c r="T427" s="10" t="n"/>
      <c r="U427" s="14" t="n"/>
      <c r="V427" s="10" t="n"/>
      <c r="W427" s="10" t="n"/>
    </row>
    <row r="428">
      <c r="A428" s="10" t="n"/>
      <c r="B428" s="10" t="n"/>
      <c r="C428" s="10" t="n"/>
      <c r="D428" s="10" t="n"/>
      <c r="E428" s="10" t="n"/>
      <c r="F428" s="11" t="n"/>
      <c r="G428" s="10" t="n"/>
      <c r="H428" s="12" t="n"/>
      <c r="I428" s="11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3">
        <f>IF(A428="","",IF(AND(N(F428)&gt;=3000,G428&lt;&gt;"Yes"),3,0)+IF(J428="Yes",2,0)+IF(OR(D428="1 venue",D428="2-6 venues"),1,0)+IF(OR(B428="Specialty coffee",B428="Brunch / cafe",B428="Dessert / bakery"),1,0)+IF(AND(N(H428)&gt;=4.3,N(I428)&gt;=50),1,0)+IF(AND(OR(M428&lt;&gt;"",N428&lt;&gt;""),O428&lt;&gt;""),1,0))</f>
        <v/>
      </c>
      <c r="S428" s="13">
        <f>IF(R428="","",IF(R428&gt;=6,"A",IF(R428&gt;=4,"B","C")))</f>
        <v/>
      </c>
      <c r="T428" s="10" t="n"/>
      <c r="U428" s="14" t="n"/>
      <c r="V428" s="10" t="n"/>
      <c r="W428" s="10" t="n"/>
    </row>
    <row r="429">
      <c r="A429" s="10" t="n"/>
      <c r="B429" s="10" t="n"/>
      <c r="C429" s="10" t="n"/>
      <c r="D429" s="10" t="n"/>
      <c r="E429" s="10" t="n"/>
      <c r="F429" s="11" t="n"/>
      <c r="G429" s="10" t="n"/>
      <c r="H429" s="12" t="n"/>
      <c r="I429" s="11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3">
        <f>IF(A429="","",IF(AND(N(F429)&gt;=3000,G429&lt;&gt;"Yes"),3,0)+IF(J429="Yes",2,0)+IF(OR(D429="1 venue",D429="2-6 venues"),1,0)+IF(OR(B429="Specialty coffee",B429="Brunch / cafe",B429="Dessert / bakery"),1,0)+IF(AND(N(H429)&gt;=4.3,N(I429)&gt;=50),1,0)+IF(AND(OR(M429&lt;&gt;"",N429&lt;&gt;""),O429&lt;&gt;""),1,0))</f>
        <v/>
      </c>
      <c r="S429" s="13">
        <f>IF(R429="","",IF(R429&gt;=6,"A",IF(R429&gt;=4,"B","C")))</f>
        <v/>
      </c>
      <c r="T429" s="10" t="n"/>
      <c r="U429" s="14" t="n"/>
      <c r="V429" s="10" t="n"/>
      <c r="W429" s="10" t="n"/>
    </row>
    <row r="430">
      <c r="A430" s="10" t="n"/>
      <c r="B430" s="10" t="n"/>
      <c r="C430" s="10" t="n"/>
      <c r="D430" s="10" t="n"/>
      <c r="E430" s="10" t="n"/>
      <c r="F430" s="11" t="n"/>
      <c r="G430" s="10" t="n"/>
      <c r="H430" s="12" t="n"/>
      <c r="I430" s="11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3">
        <f>IF(A430="","",IF(AND(N(F430)&gt;=3000,G430&lt;&gt;"Yes"),3,0)+IF(J430="Yes",2,0)+IF(OR(D430="1 venue",D430="2-6 venues"),1,0)+IF(OR(B430="Specialty coffee",B430="Brunch / cafe",B430="Dessert / bakery"),1,0)+IF(AND(N(H430)&gt;=4.3,N(I430)&gt;=50),1,0)+IF(AND(OR(M430&lt;&gt;"",N430&lt;&gt;""),O430&lt;&gt;""),1,0))</f>
        <v/>
      </c>
      <c r="S430" s="13">
        <f>IF(R430="","",IF(R430&gt;=6,"A",IF(R430&gt;=4,"B","C")))</f>
        <v/>
      </c>
      <c r="T430" s="10" t="n"/>
      <c r="U430" s="14" t="n"/>
      <c r="V430" s="10" t="n"/>
      <c r="W430" s="10" t="n"/>
    </row>
    <row r="431">
      <c r="A431" s="10" t="n"/>
      <c r="B431" s="10" t="n"/>
      <c r="C431" s="10" t="n"/>
      <c r="D431" s="10" t="n"/>
      <c r="E431" s="10" t="n"/>
      <c r="F431" s="11" t="n"/>
      <c r="G431" s="10" t="n"/>
      <c r="H431" s="12" t="n"/>
      <c r="I431" s="11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3">
        <f>IF(A431="","",IF(AND(N(F431)&gt;=3000,G431&lt;&gt;"Yes"),3,0)+IF(J431="Yes",2,0)+IF(OR(D431="1 venue",D431="2-6 venues"),1,0)+IF(OR(B431="Specialty coffee",B431="Brunch / cafe",B431="Dessert / bakery"),1,0)+IF(AND(N(H431)&gt;=4.3,N(I431)&gt;=50),1,0)+IF(AND(OR(M431&lt;&gt;"",N431&lt;&gt;""),O431&lt;&gt;""),1,0))</f>
        <v/>
      </c>
      <c r="S431" s="13">
        <f>IF(R431="","",IF(R431&gt;=6,"A",IF(R431&gt;=4,"B","C")))</f>
        <v/>
      </c>
      <c r="T431" s="10" t="n"/>
      <c r="U431" s="14" t="n"/>
      <c r="V431" s="10" t="n"/>
      <c r="W431" s="10" t="n"/>
    </row>
    <row r="432">
      <c r="A432" s="10" t="n"/>
      <c r="B432" s="10" t="n"/>
      <c r="C432" s="10" t="n"/>
      <c r="D432" s="10" t="n"/>
      <c r="E432" s="10" t="n"/>
      <c r="F432" s="11" t="n"/>
      <c r="G432" s="10" t="n"/>
      <c r="H432" s="12" t="n"/>
      <c r="I432" s="11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3">
        <f>IF(A432="","",IF(AND(N(F432)&gt;=3000,G432&lt;&gt;"Yes"),3,0)+IF(J432="Yes",2,0)+IF(OR(D432="1 venue",D432="2-6 venues"),1,0)+IF(OR(B432="Specialty coffee",B432="Brunch / cafe",B432="Dessert / bakery"),1,0)+IF(AND(N(H432)&gt;=4.3,N(I432)&gt;=50),1,0)+IF(AND(OR(M432&lt;&gt;"",N432&lt;&gt;""),O432&lt;&gt;""),1,0))</f>
        <v/>
      </c>
      <c r="S432" s="13">
        <f>IF(R432="","",IF(R432&gt;=6,"A",IF(R432&gt;=4,"B","C")))</f>
        <v/>
      </c>
      <c r="T432" s="10" t="n"/>
      <c r="U432" s="14" t="n"/>
      <c r="V432" s="10" t="n"/>
      <c r="W432" s="10" t="n"/>
    </row>
    <row r="433">
      <c r="A433" s="10" t="n"/>
      <c r="B433" s="10" t="n"/>
      <c r="C433" s="10" t="n"/>
      <c r="D433" s="10" t="n"/>
      <c r="E433" s="10" t="n"/>
      <c r="F433" s="11" t="n"/>
      <c r="G433" s="10" t="n"/>
      <c r="H433" s="12" t="n"/>
      <c r="I433" s="11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3">
        <f>IF(A433="","",IF(AND(N(F433)&gt;=3000,G433&lt;&gt;"Yes"),3,0)+IF(J433="Yes",2,0)+IF(OR(D433="1 venue",D433="2-6 venues"),1,0)+IF(OR(B433="Specialty coffee",B433="Brunch / cafe",B433="Dessert / bakery"),1,0)+IF(AND(N(H433)&gt;=4.3,N(I433)&gt;=50),1,0)+IF(AND(OR(M433&lt;&gt;"",N433&lt;&gt;""),O433&lt;&gt;""),1,0))</f>
        <v/>
      </c>
      <c r="S433" s="13">
        <f>IF(R433="","",IF(R433&gt;=6,"A",IF(R433&gt;=4,"B","C")))</f>
        <v/>
      </c>
      <c r="T433" s="10" t="n"/>
      <c r="U433" s="14" t="n"/>
      <c r="V433" s="10" t="n"/>
      <c r="W433" s="10" t="n"/>
    </row>
    <row r="434">
      <c r="A434" s="10" t="n"/>
      <c r="B434" s="10" t="n"/>
      <c r="C434" s="10" t="n"/>
      <c r="D434" s="10" t="n"/>
      <c r="E434" s="10" t="n"/>
      <c r="F434" s="11" t="n"/>
      <c r="G434" s="10" t="n"/>
      <c r="H434" s="12" t="n"/>
      <c r="I434" s="11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3">
        <f>IF(A434="","",IF(AND(N(F434)&gt;=3000,G434&lt;&gt;"Yes"),3,0)+IF(J434="Yes",2,0)+IF(OR(D434="1 venue",D434="2-6 venues"),1,0)+IF(OR(B434="Specialty coffee",B434="Brunch / cafe",B434="Dessert / bakery"),1,0)+IF(AND(N(H434)&gt;=4.3,N(I434)&gt;=50),1,0)+IF(AND(OR(M434&lt;&gt;"",N434&lt;&gt;""),O434&lt;&gt;""),1,0))</f>
        <v/>
      </c>
      <c r="S434" s="13">
        <f>IF(R434="","",IF(R434&gt;=6,"A",IF(R434&gt;=4,"B","C")))</f>
        <v/>
      </c>
      <c r="T434" s="10" t="n"/>
      <c r="U434" s="14" t="n"/>
      <c r="V434" s="10" t="n"/>
      <c r="W434" s="10" t="n"/>
    </row>
    <row r="435">
      <c r="A435" s="10" t="n"/>
      <c r="B435" s="10" t="n"/>
      <c r="C435" s="10" t="n"/>
      <c r="D435" s="10" t="n"/>
      <c r="E435" s="10" t="n"/>
      <c r="F435" s="11" t="n"/>
      <c r="G435" s="10" t="n"/>
      <c r="H435" s="12" t="n"/>
      <c r="I435" s="11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3">
        <f>IF(A435="","",IF(AND(N(F435)&gt;=3000,G435&lt;&gt;"Yes"),3,0)+IF(J435="Yes",2,0)+IF(OR(D435="1 venue",D435="2-6 venues"),1,0)+IF(OR(B435="Specialty coffee",B435="Brunch / cafe",B435="Dessert / bakery"),1,0)+IF(AND(N(H435)&gt;=4.3,N(I435)&gt;=50),1,0)+IF(AND(OR(M435&lt;&gt;"",N435&lt;&gt;""),O435&lt;&gt;""),1,0))</f>
        <v/>
      </c>
      <c r="S435" s="13">
        <f>IF(R435="","",IF(R435&gt;=6,"A",IF(R435&gt;=4,"B","C")))</f>
        <v/>
      </c>
      <c r="T435" s="10" t="n"/>
      <c r="U435" s="14" t="n"/>
      <c r="V435" s="10" t="n"/>
      <c r="W435" s="10" t="n"/>
    </row>
    <row r="436">
      <c r="A436" s="10" t="n"/>
      <c r="B436" s="10" t="n"/>
      <c r="C436" s="10" t="n"/>
      <c r="D436" s="10" t="n"/>
      <c r="E436" s="10" t="n"/>
      <c r="F436" s="11" t="n"/>
      <c r="G436" s="10" t="n"/>
      <c r="H436" s="12" t="n"/>
      <c r="I436" s="11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3">
        <f>IF(A436="","",IF(AND(N(F436)&gt;=3000,G436&lt;&gt;"Yes"),3,0)+IF(J436="Yes",2,0)+IF(OR(D436="1 venue",D436="2-6 venues"),1,0)+IF(OR(B436="Specialty coffee",B436="Brunch / cafe",B436="Dessert / bakery"),1,0)+IF(AND(N(H436)&gt;=4.3,N(I436)&gt;=50),1,0)+IF(AND(OR(M436&lt;&gt;"",N436&lt;&gt;""),O436&lt;&gt;""),1,0))</f>
        <v/>
      </c>
      <c r="S436" s="13">
        <f>IF(R436="","",IF(R436&gt;=6,"A",IF(R436&gt;=4,"B","C")))</f>
        <v/>
      </c>
      <c r="T436" s="10" t="n"/>
      <c r="U436" s="14" t="n"/>
      <c r="V436" s="10" t="n"/>
      <c r="W436" s="10" t="n"/>
    </row>
    <row r="437">
      <c r="A437" s="10" t="n"/>
      <c r="B437" s="10" t="n"/>
      <c r="C437" s="10" t="n"/>
      <c r="D437" s="10" t="n"/>
      <c r="E437" s="10" t="n"/>
      <c r="F437" s="11" t="n"/>
      <c r="G437" s="10" t="n"/>
      <c r="H437" s="12" t="n"/>
      <c r="I437" s="11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3">
        <f>IF(A437="","",IF(AND(N(F437)&gt;=3000,G437&lt;&gt;"Yes"),3,0)+IF(J437="Yes",2,0)+IF(OR(D437="1 venue",D437="2-6 venues"),1,0)+IF(OR(B437="Specialty coffee",B437="Brunch / cafe",B437="Dessert / bakery"),1,0)+IF(AND(N(H437)&gt;=4.3,N(I437)&gt;=50),1,0)+IF(AND(OR(M437&lt;&gt;"",N437&lt;&gt;""),O437&lt;&gt;""),1,0))</f>
        <v/>
      </c>
      <c r="S437" s="13">
        <f>IF(R437="","",IF(R437&gt;=6,"A",IF(R437&gt;=4,"B","C")))</f>
        <v/>
      </c>
      <c r="T437" s="10" t="n"/>
      <c r="U437" s="14" t="n"/>
      <c r="V437" s="10" t="n"/>
      <c r="W437" s="10" t="n"/>
    </row>
    <row r="438">
      <c r="A438" s="10" t="n"/>
      <c r="B438" s="10" t="n"/>
      <c r="C438" s="10" t="n"/>
      <c r="D438" s="10" t="n"/>
      <c r="E438" s="10" t="n"/>
      <c r="F438" s="11" t="n"/>
      <c r="G438" s="10" t="n"/>
      <c r="H438" s="12" t="n"/>
      <c r="I438" s="11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3">
        <f>IF(A438="","",IF(AND(N(F438)&gt;=3000,G438&lt;&gt;"Yes"),3,0)+IF(J438="Yes",2,0)+IF(OR(D438="1 venue",D438="2-6 venues"),1,0)+IF(OR(B438="Specialty coffee",B438="Brunch / cafe",B438="Dessert / bakery"),1,0)+IF(AND(N(H438)&gt;=4.3,N(I438)&gt;=50),1,0)+IF(AND(OR(M438&lt;&gt;"",N438&lt;&gt;""),O438&lt;&gt;""),1,0))</f>
        <v/>
      </c>
      <c r="S438" s="13">
        <f>IF(R438="","",IF(R438&gt;=6,"A",IF(R438&gt;=4,"B","C")))</f>
        <v/>
      </c>
      <c r="T438" s="10" t="n"/>
      <c r="U438" s="14" t="n"/>
      <c r="V438" s="10" t="n"/>
      <c r="W438" s="10" t="n"/>
    </row>
    <row r="439">
      <c r="A439" s="10" t="n"/>
      <c r="B439" s="10" t="n"/>
      <c r="C439" s="10" t="n"/>
      <c r="D439" s="10" t="n"/>
      <c r="E439" s="10" t="n"/>
      <c r="F439" s="11" t="n"/>
      <c r="G439" s="10" t="n"/>
      <c r="H439" s="12" t="n"/>
      <c r="I439" s="11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3">
        <f>IF(A439="","",IF(AND(N(F439)&gt;=3000,G439&lt;&gt;"Yes"),3,0)+IF(J439="Yes",2,0)+IF(OR(D439="1 venue",D439="2-6 venues"),1,0)+IF(OR(B439="Specialty coffee",B439="Brunch / cafe",B439="Dessert / bakery"),1,0)+IF(AND(N(H439)&gt;=4.3,N(I439)&gt;=50),1,0)+IF(AND(OR(M439&lt;&gt;"",N439&lt;&gt;""),O439&lt;&gt;""),1,0))</f>
        <v/>
      </c>
      <c r="S439" s="13">
        <f>IF(R439="","",IF(R439&gt;=6,"A",IF(R439&gt;=4,"B","C")))</f>
        <v/>
      </c>
      <c r="T439" s="10" t="n"/>
      <c r="U439" s="14" t="n"/>
      <c r="V439" s="10" t="n"/>
      <c r="W439" s="10" t="n"/>
    </row>
    <row r="440">
      <c r="A440" s="10" t="n"/>
      <c r="B440" s="10" t="n"/>
      <c r="C440" s="10" t="n"/>
      <c r="D440" s="10" t="n"/>
      <c r="E440" s="10" t="n"/>
      <c r="F440" s="11" t="n"/>
      <c r="G440" s="10" t="n"/>
      <c r="H440" s="12" t="n"/>
      <c r="I440" s="11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3">
        <f>IF(A440="","",IF(AND(N(F440)&gt;=3000,G440&lt;&gt;"Yes"),3,0)+IF(J440="Yes",2,0)+IF(OR(D440="1 venue",D440="2-6 venues"),1,0)+IF(OR(B440="Specialty coffee",B440="Brunch / cafe",B440="Dessert / bakery"),1,0)+IF(AND(N(H440)&gt;=4.3,N(I440)&gt;=50),1,0)+IF(AND(OR(M440&lt;&gt;"",N440&lt;&gt;""),O440&lt;&gt;""),1,0))</f>
        <v/>
      </c>
      <c r="S440" s="13">
        <f>IF(R440="","",IF(R440&gt;=6,"A",IF(R440&gt;=4,"B","C")))</f>
        <v/>
      </c>
      <c r="T440" s="10" t="n"/>
      <c r="U440" s="14" t="n"/>
      <c r="V440" s="10" t="n"/>
      <c r="W440" s="10" t="n"/>
    </row>
    <row r="441">
      <c r="A441" s="10" t="n"/>
      <c r="B441" s="10" t="n"/>
      <c r="C441" s="10" t="n"/>
      <c r="D441" s="10" t="n"/>
      <c r="E441" s="10" t="n"/>
      <c r="F441" s="11" t="n"/>
      <c r="G441" s="10" t="n"/>
      <c r="H441" s="12" t="n"/>
      <c r="I441" s="11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3">
        <f>IF(A441="","",IF(AND(N(F441)&gt;=3000,G441&lt;&gt;"Yes"),3,0)+IF(J441="Yes",2,0)+IF(OR(D441="1 venue",D441="2-6 venues"),1,0)+IF(OR(B441="Specialty coffee",B441="Brunch / cafe",B441="Dessert / bakery"),1,0)+IF(AND(N(H441)&gt;=4.3,N(I441)&gt;=50),1,0)+IF(AND(OR(M441&lt;&gt;"",N441&lt;&gt;""),O441&lt;&gt;""),1,0))</f>
        <v/>
      </c>
      <c r="S441" s="13">
        <f>IF(R441="","",IF(R441&gt;=6,"A",IF(R441&gt;=4,"B","C")))</f>
        <v/>
      </c>
      <c r="T441" s="10" t="n"/>
      <c r="U441" s="14" t="n"/>
      <c r="V441" s="10" t="n"/>
      <c r="W441" s="10" t="n"/>
    </row>
    <row r="442">
      <c r="A442" s="10" t="n"/>
      <c r="B442" s="10" t="n"/>
      <c r="C442" s="10" t="n"/>
      <c r="D442" s="10" t="n"/>
      <c r="E442" s="10" t="n"/>
      <c r="F442" s="11" t="n"/>
      <c r="G442" s="10" t="n"/>
      <c r="H442" s="12" t="n"/>
      <c r="I442" s="11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3">
        <f>IF(A442="","",IF(AND(N(F442)&gt;=3000,G442&lt;&gt;"Yes"),3,0)+IF(J442="Yes",2,0)+IF(OR(D442="1 venue",D442="2-6 venues"),1,0)+IF(OR(B442="Specialty coffee",B442="Brunch / cafe",B442="Dessert / bakery"),1,0)+IF(AND(N(H442)&gt;=4.3,N(I442)&gt;=50),1,0)+IF(AND(OR(M442&lt;&gt;"",N442&lt;&gt;""),O442&lt;&gt;""),1,0))</f>
        <v/>
      </c>
      <c r="S442" s="13">
        <f>IF(R442="","",IF(R442&gt;=6,"A",IF(R442&gt;=4,"B","C")))</f>
        <v/>
      </c>
      <c r="T442" s="10" t="n"/>
      <c r="U442" s="14" t="n"/>
      <c r="V442" s="10" t="n"/>
      <c r="W442" s="10" t="n"/>
    </row>
    <row r="443">
      <c r="A443" s="10" t="n"/>
      <c r="B443" s="10" t="n"/>
      <c r="C443" s="10" t="n"/>
      <c r="D443" s="10" t="n"/>
      <c r="E443" s="10" t="n"/>
      <c r="F443" s="11" t="n"/>
      <c r="G443" s="10" t="n"/>
      <c r="H443" s="12" t="n"/>
      <c r="I443" s="11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3">
        <f>IF(A443="","",IF(AND(N(F443)&gt;=3000,G443&lt;&gt;"Yes"),3,0)+IF(J443="Yes",2,0)+IF(OR(D443="1 venue",D443="2-6 venues"),1,0)+IF(OR(B443="Specialty coffee",B443="Brunch / cafe",B443="Dessert / bakery"),1,0)+IF(AND(N(H443)&gt;=4.3,N(I443)&gt;=50),1,0)+IF(AND(OR(M443&lt;&gt;"",N443&lt;&gt;""),O443&lt;&gt;""),1,0))</f>
        <v/>
      </c>
      <c r="S443" s="13">
        <f>IF(R443="","",IF(R443&gt;=6,"A",IF(R443&gt;=4,"B","C")))</f>
        <v/>
      </c>
      <c r="T443" s="10" t="n"/>
      <c r="U443" s="14" t="n"/>
      <c r="V443" s="10" t="n"/>
      <c r="W443" s="10" t="n"/>
    </row>
    <row r="444">
      <c r="A444" s="10" t="n"/>
      <c r="B444" s="10" t="n"/>
      <c r="C444" s="10" t="n"/>
      <c r="D444" s="10" t="n"/>
      <c r="E444" s="10" t="n"/>
      <c r="F444" s="11" t="n"/>
      <c r="G444" s="10" t="n"/>
      <c r="H444" s="12" t="n"/>
      <c r="I444" s="11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3">
        <f>IF(A444="","",IF(AND(N(F444)&gt;=3000,G444&lt;&gt;"Yes"),3,0)+IF(J444="Yes",2,0)+IF(OR(D444="1 venue",D444="2-6 venues"),1,0)+IF(OR(B444="Specialty coffee",B444="Brunch / cafe",B444="Dessert / bakery"),1,0)+IF(AND(N(H444)&gt;=4.3,N(I444)&gt;=50),1,0)+IF(AND(OR(M444&lt;&gt;"",N444&lt;&gt;""),O444&lt;&gt;""),1,0))</f>
        <v/>
      </c>
      <c r="S444" s="13">
        <f>IF(R444="","",IF(R444&gt;=6,"A",IF(R444&gt;=4,"B","C")))</f>
        <v/>
      </c>
      <c r="T444" s="10" t="n"/>
      <c r="U444" s="14" t="n"/>
      <c r="V444" s="10" t="n"/>
      <c r="W444" s="10" t="n"/>
    </row>
    <row r="445">
      <c r="A445" s="10" t="n"/>
      <c r="B445" s="10" t="n"/>
      <c r="C445" s="10" t="n"/>
      <c r="D445" s="10" t="n"/>
      <c r="E445" s="10" t="n"/>
      <c r="F445" s="11" t="n"/>
      <c r="G445" s="10" t="n"/>
      <c r="H445" s="12" t="n"/>
      <c r="I445" s="11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3">
        <f>IF(A445="","",IF(AND(N(F445)&gt;=3000,G445&lt;&gt;"Yes"),3,0)+IF(J445="Yes",2,0)+IF(OR(D445="1 venue",D445="2-6 venues"),1,0)+IF(OR(B445="Specialty coffee",B445="Brunch / cafe",B445="Dessert / bakery"),1,0)+IF(AND(N(H445)&gt;=4.3,N(I445)&gt;=50),1,0)+IF(AND(OR(M445&lt;&gt;"",N445&lt;&gt;""),O445&lt;&gt;""),1,0))</f>
        <v/>
      </c>
      <c r="S445" s="13">
        <f>IF(R445="","",IF(R445&gt;=6,"A",IF(R445&gt;=4,"B","C")))</f>
        <v/>
      </c>
      <c r="T445" s="10" t="n"/>
      <c r="U445" s="14" t="n"/>
      <c r="V445" s="10" t="n"/>
      <c r="W445" s="10" t="n"/>
    </row>
    <row r="446">
      <c r="A446" s="10" t="n"/>
      <c r="B446" s="10" t="n"/>
      <c r="C446" s="10" t="n"/>
      <c r="D446" s="10" t="n"/>
      <c r="E446" s="10" t="n"/>
      <c r="F446" s="11" t="n"/>
      <c r="G446" s="10" t="n"/>
      <c r="H446" s="12" t="n"/>
      <c r="I446" s="11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3">
        <f>IF(A446="","",IF(AND(N(F446)&gt;=3000,G446&lt;&gt;"Yes"),3,0)+IF(J446="Yes",2,0)+IF(OR(D446="1 venue",D446="2-6 venues"),1,0)+IF(OR(B446="Specialty coffee",B446="Brunch / cafe",B446="Dessert / bakery"),1,0)+IF(AND(N(H446)&gt;=4.3,N(I446)&gt;=50),1,0)+IF(AND(OR(M446&lt;&gt;"",N446&lt;&gt;""),O446&lt;&gt;""),1,0))</f>
        <v/>
      </c>
      <c r="S446" s="13">
        <f>IF(R446="","",IF(R446&gt;=6,"A",IF(R446&gt;=4,"B","C")))</f>
        <v/>
      </c>
      <c r="T446" s="10" t="n"/>
      <c r="U446" s="14" t="n"/>
      <c r="V446" s="10" t="n"/>
      <c r="W446" s="10" t="n"/>
    </row>
    <row r="447">
      <c r="A447" s="10" t="n"/>
      <c r="B447" s="10" t="n"/>
      <c r="C447" s="10" t="n"/>
      <c r="D447" s="10" t="n"/>
      <c r="E447" s="10" t="n"/>
      <c r="F447" s="11" t="n"/>
      <c r="G447" s="10" t="n"/>
      <c r="H447" s="12" t="n"/>
      <c r="I447" s="11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3">
        <f>IF(A447="","",IF(AND(N(F447)&gt;=3000,G447&lt;&gt;"Yes"),3,0)+IF(J447="Yes",2,0)+IF(OR(D447="1 venue",D447="2-6 venues"),1,0)+IF(OR(B447="Specialty coffee",B447="Brunch / cafe",B447="Dessert / bakery"),1,0)+IF(AND(N(H447)&gt;=4.3,N(I447)&gt;=50),1,0)+IF(AND(OR(M447&lt;&gt;"",N447&lt;&gt;""),O447&lt;&gt;""),1,0))</f>
        <v/>
      </c>
      <c r="S447" s="13">
        <f>IF(R447="","",IF(R447&gt;=6,"A",IF(R447&gt;=4,"B","C")))</f>
        <v/>
      </c>
      <c r="T447" s="10" t="n"/>
      <c r="U447" s="14" t="n"/>
      <c r="V447" s="10" t="n"/>
      <c r="W447" s="10" t="n"/>
    </row>
    <row r="448">
      <c r="A448" s="10" t="n"/>
      <c r="B448" s="10" t="n"/>
      <c r="C448" s="10" t="n"/>
      <c r="D448" s="10" t="n"/>
      <c r="E448" s="10" t="n"/>
      <c r="F448" s="11" t="n"/>
      <c r="G448" s="10" t="n"/>
      <c r="H448" s="12" t="n"/>
      <c r="I448" s="11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3">
        <f>IF(A448="","",IF(AND(N(F448)&gt;=3000,G448&lt;&gt;"Yes"),3,0)+IF(J448="Yes",2,0)+IF(OR(D448="1 venue",D448="2-6 venues"),1,0)+IF(OR(B448="Specialty coffee",B448="Brunch / cafe",B448="Dessert / bakery"),1,0)+IF(AND(N(H448)&gt;=4.3,N(I448)&gt;=50),1,0)+IF(AND(OR(M448&lt;&gt;"",N448&lt;&gt;""),O448&lt;&gt;""),1,0))</f>
        <v/>
      </c>
      <c r="S448" s="13">
        <f>IF(R448="","",IF(R448&gt;=6,"A",IF(R448&gt;=4,"B","C")))</f>
        <v/>
      </c>
      <c r="T448" s="10" t="n"/>
      <c r="U448" s="14" t="n"/>
      <c r="V448" s="10" t="n"/>
      <c r="W448" s="10" t="n"/>
    </row>
    <row r="449">
      <c r="A449" s="10" t="n"/>
      <c r="B449" s="10" t="n"/>
      <c r="C449" s="10" t="n"/>
      <c r="D449" s="10" t="n"/>
      <c r="E449" s="10" t="n"/>
      <c r="F449" s="11" t="n"/>
      <c r="G449" s="10" t="n"/>
      <c r="H449" s="12" t="n"/>
      <c r="I449" s="11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3">
        <f>IF(A449="","",IF(AND(N(F449)&gt;=3000,G449&lt;&gt;"Yes"),3,0)+IF(J449="Yes",2,0)+IF(OR(D449="1 venue",D449="2-6 venues"),1,0)+IF(OR(B449="Specialty coffee",B449="Brunch / cafe",B449="Dessert / bakery"),1,0)+IF(AND(N(H449)&gt;=4.3,N(I449)&gt;=50),1,0)+IF(AND(OR(M449&lt;&gt;"",N449&lt;&gt;""),O449&lt;&gt;""),1,0))</f>
        <v/>
      </c>
      <c r="S449" s="13">
        <f>IF(R449="","",IF(R449&gt;=6,"A",IF(R449&gt;=4,"B","C")))</f>
        <v/>
      </c>
      <c r="T449" s="10" t="n"/>
      <c r="U449" s="14" t="n"/>
      <c r="V449" s="10" t="n"/>
      <c r="W449" s="10" t="n"/>
    </row>
    <row r="450">
      <c r="A450" s="10" t="n"/>
      <c r="B450" s="10" t="n"/>
      <c r="C450" s="10" t="n"/>
      <c r="D450" s="10" t="n"/>
      <c r="E450" s="10" t="n"/>
      <c r="F450" s="11" t="n"/>
      <c r="G450" s="10" t="n"/>
      <c r="H450" s="12" t="n"/>
      <c r="I450" s="11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3">
        <f>IF(A450="","",IF(AND(N(F450)&gt;=3000,G450&lt;&gt;"Yes"),3,0)+IF(J450="Yes",2,0)+IF(OR(D450="1 venue",D450="2-6 venues"),1,0)+IF(OR(B450="Specialty coffee",B450="Brunch / cafe",B450="Dessert / bakery"),1,0)+IF(AND(N(H450)&gt;=4.3,N(I450)&gt;=50),1,0)+IF(AND(OR(M450&lt;&gt;"",N450&lt;&gt;""),O450&lt;&gt;""),1,0))</f>
        <v/>
      </c>
      <c r="S450" s="13">
        <f>IF(R450="","",IF(R450&gt;=6,"A",IF(R450&gt;=4,"B","C")))</f>
        <v/>
      </c>
      <c r="T450" s="10" t="n"/>
      <c r="U450" s="14" t="n"/>
      <c r="V450" s="10" t="n"/>
      <c r="W450" s="10" t="n"/>
    </row>
    <row r="451">
      <c r="A451" s="10" t="n"/>
      <c r="B451" s="10" t="n"/>
      <c r="C451" s="10" t="n"/>
      <c r="D451" s="10" t="n"/>
      <c r="E451" s="10" t="n"/>
      <c r="F451" s="11" t="n"/>
      <c r="G451" s="10" t="n"/>
      <c r="H451" s="12" t="n"/>
      <c r="I451" s="11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3">
        <f>IF(A451="","",IF(AND(N(F451)&gt;=3000,G451&lt;&gt;"Yes"),3,0)+IF(J451="Yes",2,0)+IF(OR(D451="1 venue",D451="2-6 venues"),1,0)+IF(OR(B451="Specialty coffee",B451="Brunch / cafe",B451="Dessert / bakery"),1,0)+IF(AND(N(H451)&gt;=4.3,N(I451)&gt;=50),1,0)+IF(AND(OR(M451&lt;&gt;"",N451&lt;&gt;""),O451&lt;&gt;""),1,0))</f>
        <v/>
      </c>
      <c r="S451" s="13">
        <f>IF(R451="","",IF(R451&gt;=6,"A",IF(R451&gt;=4,"B","C")))</f>
        <v/>
      </c>
      <c r="T451" s="10" t="n"/>
      <c r="U451" s="14" t="n"/>
      <c r="V451" s="10" t="n"/>
      <c r="W451" s="10" t="n"/>
    </row>
    <row r="452">
      <c r="A452" s="10" t="n"/>
      <c r="B452" s="10" t="n"/>
      <c r="C452" s="10" t="n"/>
      <c r="D452" s="10" t="n"/>
      <c r="E452" s="10" t="n"/>
      <c r="F452" s="11" t="n"/>
      <c r="G452" s="10" t="n"/>
      <c r="H452" s="12" t="n"/>
      <c r="I452" s="11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3">
        <f>IF(A452="","",IF(AND(N(F452)&gt;=3000,G452&lt;&gt;"Yes"),3,0)+IF(J452="Yes",2,0)+IF(OR(D452="1 venue",D452="2-6 venues"),1,0)+IF(OR(B452="Specialty coffee",B452="Brunch / cafe",B452="Dessert / bakery"),1,0)+IF(AND(N(H452)&gt;=4.3,N(I452)&gt;=50),1,0)+IF(AND(OR(M452&lt;&gt;"",N452&lt;&gt;""),O452&lt;&gt;""),1,0))</f>
        <v/>
      </c>
      <c r="S452" s="13">
        <f>IF(R452="","",IF(R452&gt;=6,"A",IF(R452&gt;=4,"B","C")))</f>
        <v/>
      </c>
      <c r="T452" s="10" t="n"/>
      <c r="U452" s="14" t="n"/>
      <c r="V452" s="10" t="n"/>
      <c r="W452" s="10" t="n"/>
    </row>
    <row r="453">
      <c r="A453" s="10" t="n"/>
      <c r="B453" s="10" t="n"/>
      <c r="C453" s="10" t="n"/>
      <c r="D453" s="10" t="n"/>
      <c r="E453" s="10" t="n"/>
      <c r="F453" s="11" t="n"/>
      <c r="G453" s="10" t="n"/>
      <c r="H453" s="12" t="n"/>
      <c r="I453" s="11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3">
        <f>IF(A453="","",IF(AND(N(F453)&gt;=3000,G453&lt;&gt;"Yes"),3,0)+IF(J453="Yes",2,0)+IF(OR(D453="1 venue",D453="2-6 venues"),1,0)+IF(OR(B453="Specialty coffee",B453="Brunch / cafe",B453="Dessert / bakery"),1,0)+IF(AND(N(H453)&gt;=4.3,N(I453)&gt;=50),1,0)+IF(AND(OR(M453&lt;&gt;"",N453&lt;&gt;""),O453&lt;&gt;""),1,0))</f>
        <v/>
      </c>
      <c r="S453" s="13">
        <f>IF(R453="","",IF(R453&gt;=6,"A",IF(R453&gt;=4,"B","C")))</f>
        <v/>
      </c>
      <c r="T453" s="10" t="n"/>
      <c r="U453" s="14" t="n"/>
      <c r="V453" s="10" t="n"/>
      <c r="W453" s="10" t="n"/>
    </row>
    <row r="454">
      <c r="A454" s="10" t="n"/>
      <c r="B454" s="10" t="n"/>
      <c r="C454" s="10" t="n"/>
      <c r="D454" s="10" t="n"/>
      <c r="E454" s="10" t="n"/>
      <c r="F454" s="11" t="n"/>
      <c r="G454" s="10" t="n"/>
      <c r="H454" s="12" t="n"/>
      <c r="I454" s="11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3">
        <f>IF(A454="","",IF(AND(N(F454)&gt;=3000,G454&lt;&gt;"Yes"),3,0)+IF(J454="Yes",2,0)+IF(OR(D454="1 venue",D454="2-6 venues"),1,0)+IF(OR(B454="Specialty coffee",B454="Brunch / cafe",B454="Dessert / bakery"),1,0)+IF(AND(N(H454)&gt;=4.3,N(I454)&gt;=50),1,0)+IF(AND(OR(M454&lt;&gt;"",N454&lt;&gt;""),O454&lt;&gt;""),1,0))</f>
        <v/>
      </c>
      <c r="S454" s="13">
        <f>IF(R454="","",IF(R454&gt;=6,"A",IF(R454&gt;=4,"B","C")))</f>
        <v/>
      </c>
      <c r="T454" s="10" t="n"/>
      <c r="U454" s="14" t="n"/>
      <c r="V454" s="10" t="n"/>
      <c r="W454" s="10" t="n"/>
    </row>
    <row r="455">
      <c r="A455" s="10" t="n"/>
      <c r="B455" s="10" t="n"/>
      <c r="C455" s="10" t="n"/>
      <c r="D455" s="10" t="n"/>
      <c r="E455" s="10" t="n"/>
      <c r="F455" s="11" t="n"/>
      <c r="G455" s="10" t="n"/>
      <c r="H455" s="12" t="n"/>
      <c r="I455" s="11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3">
        <f>IF(A455="","",IF(AND(N(F455)&gt;=3000,G455&lt;&gt;"Yes"),3,0)+IF(J455="Yes",2,0)+IF(OR(D455="1 venue",D455="2-6 venues"),1,0)+IF(OR(B455="Specialty coffee",B455="Brunch / cafe",B455="Dessert / bakery"),1,0)+IF(AND(N(H455)&gt;=4.3,N(I455)&gt;=50),1,0)+IF(AND(OR(M455&lt;&gt;"",N455&lt;&gt;""),O455&lt;&gt;""),1,0))</f>
        <v/>
      </c>
      <c r="S455" s="13">
        <f>IF(R455="","",IF(R455&gt;=6,"A",IF(R455&gt;=4,"B","C")))</f>
        <v/>
      </c>
      <c r="T455" s="10" t="n"/>
      <c r="U455" s="14" t="n"/>
      <c r="V455" s="10" t="n"/>
      <c r="W455" s="10" t="n"/>
    </row>
    <row r="456">
      <c r="A456" s="10" t="n"/>
      <c r="B456" s="10" t="n"/>
      <c r="C456" s="10" t="n"/>
      <c r="D456" s="10" t="n"/>
      <c r="E456" s="10" t="n"/>
      <c r="F456" s="11" t="n"/>
      <c r="G456" s="10" t="n"/>
      <c r="H456" s="12" t="n"/>
      <c r="I456" s="11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3">
        <f>IF(A456="","",IF(AND(N(F456)&gt;=3000,G456&lt;&gt;"Yes"),3,0)+IF(J456="Yes",2,0)+IF(OR(D456="1 venue",D456="2-6 venues"),1,0)+IF(OR(B456="Specialty coffee",B456="Brunch / cafe",B456="Dessert / bakery"),1,0)+IF(AND(N(H456)&gt;=4.3,N(I456)&gt;=50),1,0)+IF(AND(OR(M456&lt;&gt;"",N456&lt;&gt;""),O456&lt;&gt;""),1,0))</f>
        <v/>
      </c>
      <c r="S456" s="13">
        <f>IF(R456="","",IF(R456&gt;=6,"A",IF(R456&gt;=4,"B","C")))</f>
        <v/>
      </c>
      <c r="T456" s="10" t="n"/>
      <c r="U456" s="14" t="n"/>
      <c r="V456" s="10" t="n"/>
      <c r="W456" s="10" t="n"/>
    </row>
    <row r="457">
      <c r="A457" s="10" t="n"/>
      <c r="B457" s="10" t="n"/>
      <c r="C457" s="10" t="n"/>
      <c r="D457" s="10" t="n"/>
      <c r="E457" s="10" t="n"/>
      <c r="F457" s="11" t="n"/>
      <c r="G457" s="10" t="n"/>
      <c r="H457" s="12" t="n"/>
      <c r="I457" s="11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3">
        <f>IF(A457="","",IF(AND(N(F457)&gt;=3000,G457&lt;&gt;"Yes"),3,0)+IF(J457="Yes",2,0)+IF(OR(D457="1 venue",D457="2-6 venues"),1,0)+IF(OR(B457="Specialty coffee",B457="Brunch / cafe",B457="Dessert / bakery"),1,0)+IF(AND(N(H457)&gt;=4.3,N(I457)&gt;=50),1,0)+IF(AND(OR(M457&lt;&gt;"",N457&lt;&gt;""),O457&lt;&gt;""),1,0))</f>
        <v/>
      </c>
      <c r="S457" s="13">
        <f>IF(R457="","",IF(R457&gt;=6,"A",IF(R457&gt;=4,"B","C")))</f>
        <v/>
      </c>
      <c r="T457" s="10" t="n"/>
      <c r="U457" s="14" t="n"/>
      <c r="V457" s="10" t="n"/>
      <c r="W457" s="10" t="n"/>
    </row>
    <row r="458">
      <c r="A458" s="10" t="n"/>
      <c r="B458" s="10" t="n"/>
      <c r="C458" s="10" t="n"/>
      <c r="D458" s="10" t="n"/>
      <c r="E458" s="10" t="n"/>
      <c r="F458" s="11" t="n"/>
      <c r="G458" s="10" t="n"/>
      <c r="H458" s="12" t="n"/>
      <c r="I458" s="11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3">
        <f>IF(A458="","",IF(AND(N(F458)&gt;=3000,G458&lt;&gt;"Yes"),3,0)+IF(J458="Yes",2,0)+IF(OR(D458="1 venue",D458="2-6 venues"),1,0)+IF(OR(B458="Specialty coffee",B458="Brunch / cafe",B458="Dessert / bakery"),1,0)+IF(AND(N(H458)&gt;=4.3,N(I458)&gt;=50),1,0)+IF(AND(OR(M458&lt;&gt;"",N458&lt;&gt;""),O458&lt;&gt;""),1,0))</f>
        <v/>
      </c>
      <c r="S458" s="13">
        <f>IF(R458="","",IF(R458&gt;=6,"A",IF(R458&gt;=4,"B","C")))</f>
        <v/>
      </c>
      <c r="T458" s="10" t="n"/>
      <c r="U458" s="14" t="n"/>
      <c r="V458" s="10" t="n"/>
      <c r="W458" s="10" t="n"/>
    </row>
    <row r="459">
      <c r="A459" s="10" t="n"/>
      <c r="B459" s="10" t="n"/>
      <c r="C459" s="10" t="n"/>
      <c r="D459" s="10" t="n"/>
      <c r="E459" s="10" t="n"/>
      <c r="F459" s="11" t="n"/>
      <c r="G459" s="10" t="n"/>
      <c r="H459" s="12" t="n"/>
      <c r="I459" s="11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3">
        <f>IF(A459="","",IF(AND(N(F459)&gt;=3000,G459&lt;&gt;"Yes"),3,0)+IF(J459="Yes",2,0)+IF(OR(D459="1 venue",D459="2-6 venues"),1,0)+IF(OR(B459="Specialty coffee",B459="Brunch / cafe",B459="Dessert / bakery"),1,0)+IF(AND(N(H459)&gt;=4.3,N(I459)&gt;=50),1,0)+IF(AND(OR(M459&lt;&gt;"",N459&lt;&gt;""),O459&lt;&gt;""),1,0))</f>
        <v/>
      </c>
      <c r="S459" s="13">
        <f>IF(R459="","",IF(R459&gt;=6,"A",IF(R459&gt;=4,"B","C")))</f>
        <v/>
      </c>
      <c r="T459" s="10" t="n"/>
      <c r="U459" s="14" t="n"/>
      <c r="V459" s="10" t="n"/>
      <c r="W459" s="10" t="n"/>
    </row>
    <row r="460">
      <c r="A460" s="10" t="n"/>
      <c r="B460" s="10" t="n"/>
      <c r="C460" s="10" t="n"/>
      <c r="D460" s="10" t="n"/>
      <c r="E460" s="10" t="n"/>
      <c r="F460" s="11" t="n"/>
      <c r="G460" s="10" t="n"/>
      <c r="H460" s="12" t="n"/>
      <c r="I460" s="11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3">
        <f>IF(A460="","",IF(AND(N(F460)&gt;=3000,G460&lt;&gt;"Yes"),3,0)+IF(J460="Yes",2,0)+IF(OR(D460="1 venue",D460="2-6 venues"),1,0)+IF(OR(B460="Specialty coffee",B460="Brunch / cafe",B460="Dessert / bakery"),1,0)+IF(AND(N(H460)&gt;=4.3,N(I460)&gt;=50),1,0)+IF(AND(OR(M460&lt;&gt;"",N460&lt;&gt;""),O460&lt;&gt;""),1,0))</f>
        <v/>
      </c>
      <c r="S460" s="13">
        <f>IF(R460="","",IF(R460&gt;=6,"A",IF(R460&gt;=4,"B","C")))</f>
        <v/>
      </c>
      <c r="T460" s="10" t="n"/>
      <c r="U460" s="14" t="n"/>
      <c r="V460" s="10" t="n"/>
      <c r="W460" s="10" t="n"/>
    </row>
    <row r="461">
      <c r="A461" s="10" t="n"/>
      <c r="B461" s="10" t="n"/>
      <c r="C461" s="10" t="n"/>
      <c r="D461" s="10" t="n"/>
      <c r="E461" s="10" t="n"/>
      <c r="F461" s="11" t="n"/>
      <c r="G461" s="10" t="n"/>
      <c r="H461" s="12" t="n"/>
      <c r="I461" s="11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3">
        <f>IF(A461="","",IF(AND(N(F461)&gt;=3000,G461&lt;&gt;"Yes"),3,0)+IF(J461="Yes",2,0)+IF(OR(D461="1 venue",D461="2-6 venues"),1,0)+IF(OR(B461="Specialty coffee",B461="Brunch / cafe",B461="Dessert / bakery"),1,0)+IF(AND(N(H461)&gt;=4.3,N(I461)&gt;=50),1,0)+IF(AND(OR(M461&lt;&gt;"",N461&lt;&gt;""),O461&lt;&gt;""),1,0))</f>
        <v/>
      </c>
      <c r="S461" s="13">
        <f>IF(R461="","",IF(R461&gt;=6,"A",IF(R461&gt;=4,"B","C")))</f>
        <v/>
      </c>
      <c r="T461" s="10" t="n"/>
      <c r="U461" s="14" t="n"/>
      <c r="V461" s="10" t="n"/>
      <c r="W461" s="10" t="n"/>
    </row>
    <row r="462">
      <c r="A462" s="10" t="n"/>
      <c r="B462" s="10" t="n"/>
      <c r="C462" s="10" t="n"/>
      <c r="D462" s="10" t="n"/>
      <c r="E462" s="10" t="n"/>
      <c r="F462" s="11" t="n"/>
      <c r="G462" s="10" t="n"/>
      <c r="H462" s="12" t="n"/>
      <c r="I462" s="11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3">
        <f>IF(A462="","",IF(AND(N(F462)&gt;=3000,G462&lt;&gt;"Yes"),3,0)+IF(J462="Yes",2,0)+IF(OR(D462="1 venue",D462="2-6 venues"),1,0)+IF(OR(B462="Specialty coffee",B462="Brunch / cafe",B462="Dessert / bakery"),1,0)+IF(AND(N(H462)&gt;=4.3,N(I462)&gt;=50),1,0)+IF(AND(OR(M462&lt;&gt;"",N462&lt;&gt;""),O462&lt;&gt;""),1,0))</f>
        <v/>
      </c>
      <c r="S462" s="13">
        <f>IF(R462="","",IF(R462&gt;=6,"A",IF(R462&gt;=4,"B","C")))</f>
        <v/>
      </c>
      <c r="T462" s="10" t="n"/>
      <c r="U462" s="14" t="n"/>
      <c r="V462" s="10" t="n"/>
      <c r="W462" s="10" t="n"/>
    </row>
    <row r="463">
      <c r="A463" s="10" t="n"/>
      <c r="B463" s="10" t="n"/>
      <c r="C463" s="10" t="n"/>
      <c r="D463" s="10" t="n"/>
      <c r="E463" s="10" t="n"/>
      <c r="F463" s="11" t="n"/>
      <c r="G463" s="10" t="n"/>
      <c r="H463" s="12" t="n"/>
      <c r="I463" s="11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3">
        <f>IF(A463="","",IF(AND(N(F463)&gt;=3000,G463&lt;&gt;"Yes"),3,0)+IF(J463="Yes",2,0)+IF(OR(D463="1 venue",D463="2-6 venues"),1,0)+IF(OR(B463="Specialty coffee",B463="Brunch / cafe",B463="Dessert / bakery"),1,0)+IF(AND(N(H463)&gt;=4.3,N(I463)&gt;=50),1,0)+IF(AND(OR(M463&lt;&gt;"",N463&lt;&gt;""),O463&lt;&gt;""),1,0))</f>
        <v/>
      </c>
      <c r="S463" s="13">
        <f>IF(R463="","",IF(R463&gt;=6,"A",IF(R463&gt;=4,"B","C")))</f>
        <v/>
      </c>
      <c r="T463" s="10" t="n"/>
      <c r="U463" s="14" t="n"/>
      <c r="V463" s="10" t="n"/>
      <c r="W463" s="10" t="n"/>
    </row>
    <row r="464">
      <c r="A464" s="10" t="n"/>
      <c r="B464" s="10" t="n"/>
      <c r="C464" s="10" t="n"/>
      <c r="D464" s="10" t="n"/>
      <c r="E464" s="10" t="n"/>
      <c r="F464" s="11" t="n"/>
      <c r="G464" s="10" t="n"/>
      <c r="H464" s="12" t="n"/>
      <c r="I464" s="11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3">
        <f>IF(A464="","",IF(AND(N(F464)&gt;=3000,G464&lt;&gt;"Yes"),3,0)+IF(J464="Yes",2,0)+IF(OR(D464="1 venue",D464="2-6 venues"),1,0)+IF(OR(B464="Specialty coffee",B464="Brunch / cafe",B464="Dessert / bakery"),1,0)+IF(AND(N(H464)&gt;=4.3,N(I464)&gt;=50),1,0)+IF(AND(OR(M464&lt;&gt;"",N464&lt;&gt;""),O464&lt;&gt;""),1,0))</f>
        <v/>
      </c>
      <c r="S464" s="13">
        <f>IF(R464="","",IF(R464&gt;=6,"A",IF(R464&gt;=4,"B","C")))</f>
        <v/>
      </c>
      <c r="T464" s="10" t="n"/>
      <c r="U464" s="14" t="n"/>
      <c r="V464" s="10" t="n"/>
      <c r="W464" s="10" t="n"/>
    </row>
    <row r="465">
      <c r="A465" s="10" t="n"/>
      <c r="B465" s="10" t="n"/>
      <c r="C465" s="10" t="n"/>
      <c r="D465" s="10" t="n"/>
      <c r="E465" s="10" t="n"/>
      <c r="F465" s="11" t="n"/>
      <c r="G465" s="10" t="n"/>
      <c r="H465" s="12" t="n"/>
      <c r="I465" s="11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3">
        <f>IF(A465="","",IF(AND(N(F465)&gt;=3000,G465&lt;&gt;"Yes"),3,0)+IF(J465="Yes",2,0)+IF(OR(D465="1 venue",D465="2-6 venues"),1,0)+IF(OR(B465="Specialty coffee",B465="Brunch / cafe",B465="Dessert / bakery"),1,0)+IF(AND(N(H465)&gt;=4.3,N(I465)&gt;=50),1,0)+IF(AND(OR(M465&lt;&gt;"",N465&lt;&gt;""),O465&lt;&gt;""),1,0))</f>
        <v/>
      </c>
      <c r="S465" s="13">
        <f>IF(R465="","",IF(R465&gt;=6,"A",IF(R465&gt;=4,"B","C")))</f>
        <v/>
      </c>
      <c r="T465" s="10" t="n"/>
      <c r="U465" s="14" t="n"/>
      <c r="V465" s="10" t="n"/>
      <c r="W465" s="10" t="n"/>
    </row>
    <row r="466">
      <c r="A466" s="10" t="n"/>
      <c r="B466" s="10" t="n"/>
      <c r="C466" s="10" t="n"/>
      <c r="D466" s="10" t="n"/>
      <c r="E466" s="10" t="n"/>
      <c r="F466" s="11" t="n"/>
      <c r="G466" s="10" t="n"/>
      <c r="H466" s="12" t="n"/>
      <c r="I466" s="11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3">
        <f>IF(A466="","",IF(AND(N(F466)&gt;=3000,G466&lt;&gt;"Yes"),3,0)+IF(J466="Yes",2,0)+IF(OR(D466="1 venue",D466="2-6 venues"),1,0)+IF(OR(B466="Specialty coffee",B466="Brunch / cafe",B466="Dessert / bakery"),1,0)+IF(AND(N(H466)&gt;=4.3,N(I466)&gt;=50),1,0)+IF(AND(OR(M466&lt;&gt;"",N466&lt;&gt;""),O466&lt;&gt;""),1,0))</f>
        <v/>
      </c>
      <c r="S466" s="13">
        <f>IF(R466="","",IF(R466&gt;=6,"A",IF(R466&gt;=4,"B","C")))</f>
        <v/>
      </c>
      <c r="T466" s="10" t="n"/>
      <c r="U466" s="14" t="n"/>
      <c r="V466" s="10" t="n"/>
      <c r="W466" s="10" t="n"/>
    </row>
    <row r="467">
      <c r="A467" s="10" t="n"/>
      <c r="B467" s="10" t="n"/>
      <c r="C467" s="10" t="n"/>
      <c r="D467" s="10" t="n"/>
      <c r="E467" s="10" t="n"/>
      <c r="F467" s="11" t="n"/>
      <c r="G467" s="10" t="n"/>
      <c r="H467" s="12" t="n"/>
      <c r="I467" s="11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3">
        <f>IF(A467="","",IF(AND(N(F467)&gt;=3000,G467&lt;&gt;"Yes"),3,0)+IF(J467="Yes",2,0)+IF(OR(D467="1 venue",D467="2-6 venues"),1,0)+IF(OR(B467="Specialty coffee",B467="Brunch / cafe",B467="Dessert / bakery"),1,0)+IF(AND(N(H467)&gt;=4.3,N(I467)&gt;=50),1,0)+IF(AND(OR(M467&lt;&gt;"",N467&lt;&gt;""),O467&lt;&gt;""),1,0))</f>
        <v/>
      </c>
      <c r="S467" s="13">
        <f>IF(R467="","",IF(R467&gt;=6,"A",IF(R467&gt;=4,"B","C")))</f>
        <v/>
      </c>
      <c r="T467" s="10" t="n"/>
      <c r="U467" s="14" t="n"/>
      <c r="V467" s="10" t="n"/>
      <c r="W467" s="10" t="n"/>
    </row>
    <row r="468">
      <c r="A468" s="10" t="n"/>
      <c r="B468" s="10" t="n"/>
      <c r="C468" s="10" t="n"/>
      <c r="D468" s="10" t="n"/>
      <c r="E468" s="10" t="n"/>
      <c r="F468" s="11" t="n"/>
      <c r="G468" s="10" t="n"/>
      <c r="H468" s="12" t="n"/>
      <c r="I468" s="11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3">
        <f>IF(A468="","",IF(AND(N(F468)&gt;=3000,G468&lt;&gt;"Yes"),3,0)+IF(J468="Yes",2,0)+IF(OR(D468="1 venue",D468="2-6 venues"),1,0)+IF(OR(B468="Specialty coffee",B468="Brunch / cafe",B468="Dessert / bakery"),1,0)+IF(AND(N(H468)&gt;=4.3,N(I468)&gt;=50),1,0)+IF(AND(OR(M468&lt;&gt;"",N468&lt;&gt;""),O468&lt;&gt;""),1,0))</f>
        <v/>
      </c>
      <c r="S468" s="13">
        <f>IF(R468="","",IF(R468&gt;=6,"A",IF(R468&gt;=4,"B","C")))</f>
        <v/>
      </c>
      <c r="T468" s="10" t="n"/>
      <c r="U468" s="14" t="n"/>
      <c r="V468" s="10" t="n"/>
      <c r="W468" s="10" t="n"/>
    </row>
    <row r="469">
      <c r="A469" s="10" t="n"/>
      <c r="B469" s="10" t="n"/>
      <c r="C469" s="10" t="n"/>
      <c r="D469" s="10" t="n"/>
      <c r="E469" s="10" t="n"/>
      <c r="F469" s="11" t="n"/>
      <c r="G469" s="10" t="n"/>
      <c r="H469" s="12" t="n"/>
      <c r="I469" s="11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3">
        <f>IF(A469="","",IF(AND(N(F469)&gt;=3000,G469&lt;&gt;"Yes"),3,0)+IF(J469="Yes",2,0)+IF(OR(D469="1 venue",D469="2-6 venues"),1,0)+IF(OR(B469="Specialty coffee",B469="Brunch / cafe",B469="Dessert / bakery"),1,0)+IF(AND(N(H469)&gt;=4.3,N(I469)&gt;=50),1,0)+IF(AND(OR(M469&lt;&gt;"",N469&lt;&gt;""),O469&lt;&gt;""),1,0))</f>
        <v/>
      </c>
      <c r="S469" s="13">
        <f>IF(R469="","",IF(R469&gt;=6,"A",IF(R469&gt;=4,"B","C")))</f>
        <v/>
      </c>
      <c r="T469" s="10" t="n"/>
      <c r="U469" s="14" t="n"/>
      <c r="V469" s="10" t="n"/>
      <c r="W469" s="10" t="n"/>
    </row>
    <row r="470">
      <c r="A470" s="10" t="n"/>
      <c r="B470" s="10" t="n"/>
      <c r="C470" s="10" t="n"/>
      <c r="D470" s="10" t="n"/>
      <c r="E470" s="10" t="n"/>
      <c r="F470" s="11" t="n"/>
      <c r="G470" s="10" t="n"/>
      <c r="H470" s="12" t="n"/>
      <c r="I470" s="11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3">
        <f>IF(A470="","",IF(AND(N(F470)&gt;=3000,G470&lt;&gt;"Yes"),3,0)+IF(J470="Yes",2,0)+IF(OR(D470="1 venue",D470="2-6 venues"),1,0)+IF(OR(B470="Specialty coffee",B470="Brunch / cafe",B470="Dessert / bakery"),1,0)+IF(AND(N(H470)&gt;=4.3,N(I470)&gt;=50),1,0)+IF(AND(OR(M470&lt;&gt;"",N470&lt;&gt;""),O470&lt;&gt;""),1,0))</f>
        <v/>
      </c>
      <c r="S470" s="13">
        <f>IF(R470="","",IF(R470&gt;=6,"A",IF(R470&gt;=4,"B","C")))</f>
        <v/>
      </c>
      <c r="T470" s="10" t="n"/>
      <c r="U470" s="14" t="n"/>
      <c r="V470" s="10" t="n"/>
      <c r="W470" s="10" t="n"/>
    </row>
    <row r="471">
      <c r="A471" s="10" t="n"/>
      <c r="B471" s="10" t="n"/>
      <c r="C471" s="10" t="n"/>
      <c r="D471" s="10" t="n"/>
      <c r="E471" s="10" t="n"/>
      <c r="F471" s="11" t="n"/>
      <c r="G471" s="10" t="n"/>
      <c r="H471" s="12" t="n"/>
      <c r="I471" s="11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3">
        <f>IF(A471="","",IF(AND(N(F471)&gt;=3000,G471&lt;&gt;"Yes"),3,0)+IF(J471="Yes",2,0)+IF(OR(D471="1 venue",D471="2-6 venues"),1,0)+IF(OR(B471="Specialty coffee",B471="Brunch / cafe",B471="Dessert / bakery"),1,0)+IF(AND(N(H471)&gt;=4.3,N(I471)&gt;=50),1,0)+IF(AND(OR(M471&lt;&gt;"",N471&lt;&gt;""),O471&lt;&gt;""),1,0))</f>
        <v/>
      </c>
      <c r="S471" s="13">
        <f>IF(R471="","",IF(R471&gt;=6,"A",IF(R471&gt;=4,"B","C")))</f>
        <v/>
      </c>
      <c r="T471" s="10" t="n"/>
      <c r="U471" s="14" t="n"/>
      <c r="V471" s="10" t="n"/>
      <c r="W471" s="10" t="n"/>
    </row>
    <row r="472">
      <c r="A472" s="10" t="n"/>
      <c r="B472" s="10" t="n"/>
      <c r="C472" s="10" t="n"/>
      <c r="D472" s="10" t="n"/>
      <c r="E472" s="10" t="n"/>
      <c r="F472" s="11" t="n"/>
      <c r="G472" s="10" t="n"/>
      <c r="H472" s="12" t="n"/>
      <c r="I472" s="11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3">
        <f>IF(A472="","",IF(AND(N(F472)&gt;=3000,G472&lt;&gt;"Yes"),3,0)+IF(J472="Yes",2,0)+IF(OR(D472="1 venue",D472="2-6 venues"),1,0)+IF(OR(B472="Specialty coffee",B472="Brunch / cafe",B472="Dessert / bakery"),1,0)+IF(AND(N(H472)&gt;=4.3,N(I472)&gt;=50),1,0)+IF(AND(OR(M472&lt;&gt;"",N472&lt;&gt;""),O472&lt;&gt;""),1,0))</f>
        <v/>
      </c>
      <c r="S472" s="13">
        <f>IF(R472="","",IF(R472&gt;=6,"A",IF(R472&gt;=4,"B","C")))</f>
        <v/>
      </c>
      <c r="T472" s="10" t="n"/>
      <c r="U472" s="14" t="n"/>
      <c r="V472" s="10" t="n"/>
      <c r="W472" s="10" t="n"/>
    </row>
    <row r="473">
      <c r="A473" s="10" t="n"/>
      <c r="B473" s="10" t="n"/>
      <c r="C473" s="10" t="n"/>
      <c r="D473" s="10" t="n"/>
      <c r="E473" s="10" t="n"/>
      <c r="F473" s="11" t="n"/>
      <c r="G473" s="10" t="n"/>
      <c r="H473" s="12" t="n"/>
      <c r="I473" s="11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3">
        <f>IF(A473="","",IF(AND(N(F473)&gt;=3000,G473&lt;&gt;"Yes"),3,0)+IF(J473="Yes",2,0)+IF(OR(D473="1 venue",D473="2-6 venues"),1,0)+IF(OR(B473="Specialty coffee",B473="Brunch / cafe",B473="Dessert / bakery"),1,0)+IF(AND(N(H473)&gt;=4.3,N(I473)&gt;=50),1,0)+IF(AND(OR(M473&lt;&gt;"",N473&lt;&gt;""),O473&lt;&gt;""),1,0))</f>
        <v/>
      </c>
      <c r="S473" s="13">
        <f>IF(R473="","",IF(R473&gt;=6,"A",IF(R473&gt;=4,"B","C")))</f>
        <v/>
      </c>
      <c r="T473" s="10" t="n"/>
      <c r="U473" s="14" t="n"/>
      <c r="V473" s="10" t="n"/>
      <c r="W473" s="10" t="n"/>
    </row>
    <row r="474">
      <c r="A474" s="10" t="n"/>
      <c r="B474" s="10" t="n"/>
      <c r="C474" s="10" t="n"/>
      <c r="D474" s="10" t="n"/>
      <c r="E474" s="10" t="n"/>
      <c r="F474" s="11" t="n"/>
      <c r="G474" s="10" t="n"/>
      <c r="H474" s="12" t="n"/>
      <c r="I474" s="11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3">
        <f>IF(A474="","",IF(AND(N(F474)&gt;=3000,G474&lt;&gt;"Yes"),3,0)+IF(J474="Yes",2,0)+IF(OR(D474="1 venue",D474="2-6 venues"),1,0)+IF(OR(B474="Specialty coffee",B474="Brunch / cafe",B474="Dessert / bakery"),1,0)+IF(AND(N(H474)&gt;=4.3,N(I474)&gt;=50),1,0)+IF(AND(OR(M474&lt;&gt;"",N474&lt;&gt;""),O474&lt;&gt;""),1,0))</f>
        <v/>
      </c>
      <c r="S474" s="13">
        <f>IF(R474="","",IF(R474&gt;=6,"A",IF(R474&gt;=4,"B","C")))</f>
        <v/>
      </c>
      <c r="T474" s="10" t="n"/>
      <c r="U474" s="14" t="n"/>
      <c r="V474" s="10" t="n"/>
      <c r="W474" s="10" t="n"/>
    </row>
    <row r="475">
      <c r="A475" s="10" t="n"/>
      <c r="B475" s="10" t="n"/>
      <c r="C475" s="10" t="n"/>
      <c r="D475" s="10" t="n"/>
      <c r="E475" s="10" t="n"/>
      <c r="F475" s="11" t="n"/>
      <c r="G475" s="10" t="n"/>
      <c r="H475" s="12" t="n"/>
      <c r="I475" s="11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3">
        <f>IF(A475="","",IF(AND(N(F475)&gt;=3000,G475&lt;&gt;"Yes"),3,0)+IF(J475="Yes",2,0)+IF(OR(D475="1 venue",D475="2-6 venues"),1,0)+IF(OR(B475="Specialty coffee",B475="Brunch / cafe",B475="Dessert / bakery"),1,0)+IF(AND(N(H475)&gt;=4.3,N(I475)&gt;=50),1,0)+IF(AND(OR(M475&lt;&gt;"",N475&lt;&gt;""),O475&lt;&gt;""),1,0))</f>
        <v/>
      </c>
      <c r="S475" s="13">
        <f>IF(R475="","",IF(R475&gt;=6,"A",IF(R475&gt;=4,"B","C")))</f>
        <v/>
      </c>
      <c r="T475" s="10" t="n"/>
      <c r="U475" s="14" t="n"/>
      <c r="V475" s="10" t="n"/>
      <c r="W475" s="10" t="n"/>
    </row>
    <row r="476">
      <c r="A476" s="10" t="n"/>
      <c r="B476" s="10" t="n"/>
      <c r="C476" s="10" t="n"/>
      <c r="D476" s="10" t="n"/>
      <c r="E476" s="10" t="n"/>
      <c r="F476" s="11" t="n"/>
      <c r="G476" s="10" t="n"/>
      <c r="H476" s="12" t="n"/>
      <c r="I476" s="11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3">
        <f>IF(A476="","",IF(AND(N(F476)&gt;=3000,G476&lt;&gt;"Yes"),3,0)+IF(J476="Yes",2,0)+IF(OR(D476="1 venue",D476="2-6 venues"),1,0)+IF(OR(B476="Specialty coffee",B476="Brunch / cafe",B476="Dessert / bakery"),1,0)+IF(AND(N(H476)&gt;=4.3,N(I476)&gt;=50),1,0)+IF(AND(OR(M476&lt;&gt;"",N476&lt;&gt;""),O476&lt;&gt;""),1,0))</f>
        <v/>
      </c>
      <c r="S476" s="13">
        <f>IF(R476="","",IF(R476&gt;=6,"A",IF(R476&gt;=4,"B","C")))</f>
        <v/>
      </c>
      <c r="T476" s="10" t="n"/>
      <c r="U476" s="14" t="n"/>
      <c r="V476" s="10" t="n"/>
      <c r="W476" s="10" t="n"/>
    </row>
    <row r="477">
      <c r="A477" s="10" t="n"/>
      <c r="B477" s="10" t="n"/>
      <c r="C477" s="10" t="n"/>
      <c r="D477" s="10" t="n"/>
      <c r="E477" s="10" t="n"/>
      <c r="F477" s="11" t="n"/>
      <c r="G477" s="10" t="n"/>
      <c r="H477" s="12" t="n"/>
      <c r="I477" s="11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3">
        <f>IF(A477="","",IF(AND(N(F477)&gt;=3000,G477&lt;&gt;"Yes"),3,0)+IF(J477="Yes",2,0)+IF(OR(D477="1 venue",D477="2-6 venues"),1,0)+IF(OR(B477="Specialty coffee",B477="Brunch / cafe",B477="Dessert / bakery"),1,0)+IF(AND(N(H477)&gt;=4.3,N(I477)&gt;=50),1,0)+IF(AND(OR(M477&lt;&gt;"",N477&lt;&gt;""),O477&lt;&gt;""),1,0))</f>
        <v/>
      </c>
      <c r="S477" s="13">
        <f>IF(R477="","",IF(R477&gt;=6,"A",IF(R477&gt;=4,"B","C")))</f>
        <v/>
      </c>
      <c r="T477" s="10" t="n"/>
      <c r="U477" s="14" t="n"/>
      <c r="V477" s="10" t="n"/>
      <c r="W477" s="10" t="n"/>
    </row>
    <row r="478">
      <c r="A478" s="10" t="n"/>
      <c r="B478" s="10" t="n"/>
      <c r="C478" s="10" t="n"/>
      <c r="D478" s="10" t="n"/>
      <c r="E478" s="10" t="n"/>
      <c r="F478" s="11" t="n"/>
      <c r="G478" s="10" t="n"/>
      <c r="H478" s="12" t="n"/>
      <c r="I478" s="11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3">
        <f>IF(A478="","",IF(AND(N(F478)&gt;=3000,G478&lt;&gt;"Yes"),3,0)+IF(J478="Yes",2,0)+IF(OR(D478="1 venue",D478="2-6 venues"),1,0)+IF(OR(B478="Specialty coffee",B478="Brunch / cafe",B478="Dessert / bakery"),1,0)+IF(AND(N(H478)&gt;=4.3,N(I478)&gt;=50),1,0)+IF(AND(OR(M478&lt;&gt;"",N478&lt;&gt;""),O478&lt;&gt;""),1,0))</f>
        <v/>
      </c>
      <c r="S478" s="13">
        <f>IF(R478="","",IF(R478&gt;=6,"A",IF(R478&gt;=4,"B","C")))</f>
        <v/>
      </c>
      <c r="T478" s="10" t="n"/>
      <c r="U478" s="14" t="n"/>
      <c r="V478" s="10" t="n"/>
      <c r="W478" s="10" t="n"/>
    </row>
    <row r="479">
      <c r="A479" s="10" t="n"/>
      <c r="B479" s="10" t="n"/>
      <c r="C479" s="10" t="n"/>
      <c r="D479" s="10" t="n"/>
      <c r="E479" s="10" t="n"/>
      <c r="F479" s="11" t="n"/>
      <c r="G479" s="10" t="n"/>
      <c r="H479" s="12" t="n"/>
      <c r="I479" s="11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3">
        <f>IF(A479="","",IF(AND(N(F479)&gt;=3000,G479&lt;&gt;"Yes"),3,0)+IF(J479="Yes",2,0)+IF(OR(D479="1 venue",D479="2-6 venues"),1,0)+IF(OR(B479="Specialty coffee",B479="Brunch / cafe",B479="Dessert / bakery"),1,0)+IF(AND(N(H479)&gt;=4.3,N(I479)&gt;=50),1,0)+IF(AND(OR(M479&lt;&gt;"",N479&lt;&gt;""),O479&lt;&gt;""),1,0))</f>
        <v/>
      </c>
      <c r="S479" s="13">
        <f>IF(R479="","",IF(R479&gt;=6,"A",IF(R479&gt;=4,"B","C")))</f>
        <v/>
      </c>
      <c r="T479" s="10" t="n"/>
      <c r="U479" s="14" t="n"/>
      <c r="V479" s="10" t="n"/>
      <c r="W479" s="10" t="n"/>
    </row>
    <row r="480">
      <c r="A480" s="10" t="n"/>
      <c r="B480" s="10" t="n"/>
      <c r="C480" s="10" t="n"/>
      <c r="D480" s="10" t="n"/>
      <c r="E480" s="10" t="n"/>
      <c r="F480" s="11" t="n"/>
      <c r="G480" s="10" t="n"/>
      <c r="H480" s="12" t="n"/>
      <c r="I480" s="11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3">
        <f>IF(A480="","",IF(AND(N(F480)&gt;=3000,G480&lt;&gt;"Yes"),3,0)+IF(J480="Yes",2,0)+IF(OR(D480="1 venue",D480="2-6 venues"),1,0)+IF(OR(B480="Specialty coffee",B480="Brunch / cafe",B480="Dessert / bakery"),1,0)+IF(AND(N(H480)&gt;=4.3,N(I480)&gt;=50),1,0)+IF(AND(OR(M480&lt;&gt;"",N480&lt;&gt;""),O480&lt;&gt;""),1,0))</f>
        <v/>
      </c>
      <c r="S480" s="13">
        <f>IF(R480="","",IF(R480&gt;=6,"A",IF(R480&gt;=4,"B","C")))</f>
        <v/>
      </c>
      <c r="T480" s="10" t="n"/>
      <c r="U480" s="14" t="n"/>
      <c r="V480" s="10" t="n"/>
      <c r="W480" s="10" t="n"/>
    </row>
    <row r="481">
      <c r="A481" s="10" t="n"/>
      <c r="B481" s="10" t="n"/>
      <c r="C481" s="10" t="n"/>
      <c r="D481" s="10" t="n"/>
      <c r="E481" s="10" t="n"/>
      <c r="F481" s="11" t="n"/>
      <c r="G481" s="10" t="n"/>
      <c r="H481" s="12" t="n"/>
      <c r="I481" s="11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3">
        <f>IF(A481="","",IF(AND(N(F481)&gt;=3000,G481&lt;&gt;"Yes"),3,0)+IF(J481="Yes",2,0)+IF(OR(D481="1 venue",D481="2-6 venues"),1,0)+IF(OR(B481="Specialty coffee",B481="Brunch / cafe",B481="Dessert / bakery"),1,0)+IF(AND(N(H481)&gt;=4.3,N(I481)&gt;=50),1,0)+IF(AND(OR(M481&lt;&gt;"",N481&lt;&gt;""),O481&lt;&gt;""),1,0))</f>
        <v/>
      </c>
      <c r="S481" s="13">
        <f>IF(R481="","",IF(R481&gt;=6,"A",IF(R481&gt;=4,"B","C")))</f>
        <v/>
      </c>
      <c r="T481" s="10" t="n"/>
      <c r="U481" s="14" t="n"/>
      <c r="V481" s="10" t="n"/>
      <c r="W481" s="10" t="n"/>
    </row>
    <row r="482">
      <c r="A482" s="10" t="n"/>
      <c r="B482" s="10" t="n"/>
      <c r="C482" s="10" t="n"/>
      <c r="D482" s="10" t="n"/>
      <c r="E482" s="10" t="n"/>
      <c r="F482" s="11" t="n"/>
      <c r="G482" s="10" t="n"/>
      <c r="H482" s="12" t="n"/>
      <c r="I482" s="11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3">
        <f>IF(A482="","",IF(AND(N(F482)&gt;=3000,G482&lt;&gt;"Yes"),3,0)+IF(J482="Yes",2,0)+IF(OR(D482="1 venue",D482="2-6 venues"),1,0)+IF(OR(B482="Specialty coffee",B482="Brunch / cafe",B482="Dessert / bakery"),1,0)+IF(AND(N(H482)&gt;=4.3,N(I482)&gt;=50),1,0)+IF(AND(OR(M482&lt;&gt;"",N482&lt;&gt;""),O482&lt;&gt;""),1,0))</f>
        <v/>
      </c>
      <c r="S482" s="13">
        <f>IF(R482="","",IF(R482&gt;=6,"A",IF(R482&gt;=4,"B","C")))</f>
        <v/>
      </c>
      <c r="T482" s="10" t="n"/>
      <c r="U482" s="14" t="n"/>
      <c r="V482" s="10" t="n"/>
      <c r="W482" s="10" t="n"/>
    </row>
    <row r="483">
      <c r="A483" s="10" t="n"/>
      <c r="B483" s="10" t="n"/>
      <c r="C483" s="10" t="n"/>
      <c r="D483" s="10" t="n"/>
      <c r="E483" s="10" t="n"/>
      <c r="F483" s="11" t="n"/>
      <c r="G483" s="10" t="n"/>
      <c r="H483" s="12" t="n"/>
      <c r="I483" s="11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3">
        <f>IF(A483="","",IF(AND(N(F483)&gt;=3000,G483&lt;&gt;"Yes"),3,0)+IF(J483="Yes",2,0)+IF(OR(D483="1 venue",D483="2-6 venues"),1,0)+IF(OR(B483="Specialty coffee",B483="Brunch / cafe",B483="Dessert / bakery"),1,0)+IF(AND(N(H483)&gt;=4.3,N(I483)&gt;=50),1,0)+IF(AND(OR(M483&lt;&gt;"",N483&lt;&gt;""),O483&lt;&gt;""),1,0))</f>
        <v/>
      </c>
      <c r="S483" s="13">
        <f>IF(R483="","",IF(R483&gt;=6,"A",IF(R483&gt;=4,"B","C")))</f>
        <v/>
      </c>
      <c r="T483" s="10" t="n"/>
      <c r="U483" s="14" t="n"/>
      <c r="V483" s="10" t="n"/>
      <c r="W483" s="10" t="n"/>
    </row>
    <row r="484">
      <c r="A484" s="10" t="n"/>
      <c r="B484" s="10" t="n"/>
      <c r="C484" s="10" t="n"/>
      <c r="D484" s="10" t="n"/>
      <c r="E484" s="10" t="n"/>
      <c r="F484" s="11" t="n"/>
      <c r="G484" s="10" t="n"/>
      <c r="H484" s="12" t="n"/>
      <c r="I484" s="11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3">
        <f>IF(A484="","",IF(AND(N(F484)&gt;=3000,G484&lt;&gt;"Yes"),3,0)+IF(J484="Yes",2,0)+IF(OR(D484="1 venue",D484="2-6 venues"),1,0)+IF(OR(B484="Specialty coffee",B484="Brunch / cafe",B484="Dessert / bakery"),1,0)+IF(AND(N(H484)&gt;=4.3,N(I484)&gt;=50),1,0)+IF(AND(OR(M484&lt;&gt;"",N484&lt;&gt;""),O484&lt;&gt;""),1,0))</f>
        <v/>
      </c>
      <c r="S484" s="13">
        <f>IF(R484="","",IF(R484&gt;=6,"A",IF(R484&gt;=4,"B","C")))</f>
        <v/>
      </c>
      <c r="T484" s="10" t="n"/>
      <c r="U484" s="14" t="n"/>
      <c r="V484" s="10" t="n"/>
      <c r="W484" s="10" t="n"/>
    </row>
    <row r="485">
      <c r="A485" s="10" t="n"/>
      <c r="B485" s="10" t="n"/>
      <c r="C485" s="10" t="n"/>
      <c r="D485" s="10" t="n"/>
      <c r="E485" s="10" t="n"/>
      <c r="F485" s="11" t="n"/>
      <c r="G485" s="10" t="n"/>
      <c r="H485" s="12" t="n"/>
      <c r="I485" s="11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3">
        <f>IF(A485="","",IF(AND(N(F485)&gt;=3000,G485&lt;&gt;"Yes"),3,0)+IF(J485="Yes",2,0)+IF(OR(D485="1 venue",D485="2-6 venues"),1,0)+IF(OR(B485="Specialty coffee",B485="Brunch / cafe",B485="Dessert / bakery"),1,0)+IF(AND(N(H485)&gt;=4.3,N(I485)&gt;=50),1,0)+IF(AND(OR(M485&lt;&gt;"",N485&lt;&gt;""),O485&lt;&gt;""),1,0))</f>
        <v/>
      </c>
      <c r="S485" s="13">
        <f>IF(R485="","",IF(R485&gt;=6,"A",IF(R485&gt;=4,"B","C")))</f>
        <v/>
      </c>
      <c r="T485" s="10" t="n"/>
      <c r="U485" s="14" t="n"/>
      <c r="V485" s="10" t="n"/>
      <c r="W485" s="10" t="n"/>
    </row>
    <row r="486">
      <c r="A486" s="10" t="n"/>
      <c r="B486" s="10" t="n"/>
      <c r="C486" s="10" t="n"/>
      <c r="D486" s="10" t="n"/>
      <c r="E486" s="10" t="n"/>
      <c r="F486" s="11" t="n"/>
      <c r="G486" s="10" t="n"/>
      <c r="H486" s="12" t="n"/>
      <c r="I486" s="11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3">
        <f>IF(A486="","",IF(AND(N(F486)&gt;=3000,G486&lt;&gt;"Yes"),3,0)+IF(J486="Yes",2,0)+IF(OR(D486="1 venue",D486="2-6 venues"),1,0)+IF(OR(B486="Specialty coffee",B486="Brunch / cafe",B486="Dessert / bakery"),1,0)+IF(AND(N(H486)&gt;=4.3,N(I486)&gt;=50),1,0)+IF(AND(OR(M486&lt;&gt;"",N486&lt;&gt;""),O486&lt;&gt;""),1,0))</f>
        <v/>
      </c>
      <c r="S486" s="13">
        <f>IF(R486="","",IF(R486&gt;=6,"A",IF(R486&gt;=4,"B","C")))</f>
        <v/>
      </c>
      <c r="T486" s="10" t="n"/>
      <c r="U486" s="14" t="n"/>
      <c r="V486" s="10" t="n"/>
      <c r="W486" s="10" t="n"/>
    </row>
    <row r="487">
      <c r="A487" s="10" t="n"/>
      <c r="B487" s="10" t="n"/>
      <c r="C487" s="10" t="n"/>
      <c r="D487" s="10" t="n"/>
      <c r="E487" s="10" t="n"/>
      <c r="F487" s="11" t="n"/>
      <c r="G487" s="10" t="n"/>
      <c r="H487" s="12" t="n"/>
      <c r="I487" s="11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3">
        <f>IF(A487="","",IF(AND(N(F487)&gt;=3000,G487&lt;&gt;"Yes"),3,0)+IF(J487="Yes",2,0)+IF(OR(D487="1 venue",D487="2-6 venues"),1,0)+IF(OR(B487="Specialty coffee",B487="Brunch / cafe",B487="Dessert / bakery"),1,0)+IF(AND(N(H487)&gt;=4.3,N(I487)&gt;=50),1,0)+IF(AND(OR(M487&lt;&gt;"",N487&lt;&gt;""),O487&lt;&gt;""),1,0))</f>
        <v/>
      </c>
      <c r="S487" s="13">
        <f>IF(R487="","",IF(R487&gt;=6,"A",IF(R487&gt;=4,"B","C")))</f>
        <v/>
      </c>
      <c r="T487" s="10" t="n"/>
      <c r="U487" s="14" t="n"/>
      <c r="V487" s="10" t="n"/>
      <c r="W487" s="10" t="n"/>
    </row>
    <row r="488">
      <c r="A488" s="10" t="n"/>
      <c r="B488" s="10" t="n"/>
      <c r="C488" s="10" t="n"/>
      <c r="D488" s="10" t="n"/>
      <c r="E488" s="10" t="n"/>
      <c r="F488" s="11" t="n"/>
      <c r="G488" s="10" t="n"/>
      <c r="H488" s="12" t="n"/>
      <c r="I488" s="11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3">
        <f>IF(A488="","",IF(AND(N(F488)&gt;=3000,G488&lt;&gt;"Yes"),3,0)+IF(J488="Yes",2,0)+IF(OR(D488="1 venue",D488="2-6 venues"),1,0)+IF(OR(B488="Specialty coffee",B488="Brunch / cafe",B488="Dessert / bakery"),1,0)+IF(AND(N(H488)&gt;=4.3,N(I488)&gt;=50),1,0)+IF(AND(OR(M488&lt;&gt;"",N488&lt;&gt;""),O488&lt;&gt;""),1,0))</f>
        <v/>
      </c>
      <c r="S488" s="13">
        <f>IF(R488="","",IF(R488&gt;=6,"A",IF(R488&gt;=4,"B","C")))</f>
        <v/>
      </c>
      <c r="T488" s="10" t="n"/>
      <c r="U488" s="14" t="n"/>
      <c r="V488" s="10" t="n"/>
      <c r="W488" s="10" t="n"/>
    </row>
    <row r="489">
      <c r="A489" s="10" t="n"/>
      <c r="B489" s="10" t="n"/>
      <c r="C489" s="10" t="n"/>
      <c r="D489" s="10" t="n"/>
      <c r="E489" s="10" t="n"/>
      <c r="F489" s="11" t="n"/>
      <c r="G489" s="10" t="n"/>
      <c r="H489" s="12" t="n"/>
      <c r="I489" s="11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3">
        <f>IF(A489="","",IF(AND(N(F489)&gt;=3000,G489&lt;&gt;"Yes"),3,0)+IF(J489="Yes",2,0)+IF(OR(D489="1 venue",D489="2-6 venues"),1,0)+IF(OR(B489="Specialty coffee",B489="Brunch / cafe",B489="Dessert / bakery"),1,0)+IF(AND(N(H489)&gt;=4.3,N(I489)&gt;=50),1,0)+IF(AND(OR(M489&lt;&gt;"",N489&lt;&gt;""),O489&lt;&gt;""),1,0))</f>
        <v/>
      </c>
      <c r="S489" s="13">
        <f>IF(R489="","",IF(R489&gt;=6,"A",IF(R489&gt;=4,"B","C")))</f>
        <v/>
      </c>
      <c r="T489" s="10" t="n"/>
      <c r="U489" s="14" t="n"/>
      <c r="V489" s="10" t="n"/>
      <c r="W489" s="10" t="n"/>
    </row>
    <row r="490">
      <c r="A490" s="10" t="n"/>
      <c r="B490" s="10" t="n"/>
      <c r="C490" s="10" t="n"/>
      <c r="D490" s="10" t="n"/>
      <c r="E490" s="10" t="n"/>
      <c r="F490" s="11" t="n"/>
      <c r="G490" s="10" t="n"/>
      <c r="H490" s="12" t="n"/>
      <c r="I490" s="11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3">
        <f>IF(A490="","",IF(AND(N(F490)&gt;=3000,G490&lt;&gt;"Yes"),3,0)+IF(J490="Yes",2,0)+IF(OR(D490="1 venue",D490="2-6 venues"),1,0)+IF(OR(B490="Specialty coffee",B490="Brunch / cafe",B490="Dessert / bakery"),1,0)+IF(AND(N(H490)&gt;=4.3,N(I490)&gt;=50),1,0)+IF(AND(OR(M490&lt;&gt;"",N490&lt;&gt;""),O490&lt;&gt;""),1,0))</f>
        <v/>
      </c>
      <c r="S490" s="13">
        <f>IF(R490="","",IF(R490&gt;=6,"A",IF(R490&gt;=4,"B","C")))</f>
        <v/>
      </c>
      <c r="T490" s="10" t="n"/>
      <c r="U490" s="14" t="n"/>
      <c r="V490" s="10" t="n"/>
      <c r="W490" s="10" t="n"/>
    </row>
    <row r="491">
      <c r="A491" s="10" t="n"/>
      <c r="B491" s="10" t="n"/>
      <c r="C491" s="10" t="n"/>
      <c r="D491" s="10" t="n"/>
      <c r="E491" s="10" t="n"/>
      <c r="F491" s="11" t="n"/>
      <c r="G491" s="10" t="n"/>
      <c r="H491" s="12" t="n"/>
      <c r="I491" s="11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3">
        <f>IF(A491="","",IF(AND(N(F491)&gt;=3000,G491&lt;&gt;"Yes"),3,0)+IF(J491="Yes",2,0)+IF(OR(D491="1 venue",D491="2-6 venues"),1,0)+IF(OR(B491="Specialty coffee",B491="Brunch / cafe",B491="Dessert / bakery"),1,0)+IF(AND(N(H491)&gt;=4.3,N(I491)&gt;=50),1,0)+IF(AND(OR(M491&lt;&gt;"",N491&lt;&gt;""),O491&lt;&gt;""),1,0))</f>
        <v/>
      </c>
      <c r="S491" s="13">
        <f>IF(R491="","",IF(R491&gt;=6,"A",IF(R491&gt;=4,"B","C")))</f>
        <v/>
      </c>
      <c r="T491" s="10" t="n"/>
      <c r="U491" s="14" t="n"/>
      <c r="V491" s="10" t="n"/>
      <c r="W491" s="10" t="n"/>
    </row>
    <row r="492">
      <c r="A492" s="10" t="n"/>
      <c r="B492" s="10" t="n"/>
      <c r="C492" s="10" t="n"/>
      <c r="D492" s="10" t="n"/>
      <c r="E492" s="10" t="n"/>
      <c r="F492" s="11" t="n"/>
      <c r="G492" s="10" t="n"/>
      <c r="H492" s="12" t="n"/>
      <c r="I492" s="11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3">
        <f>IF(A492="","",IF(AND(N(F492)&gt;=3000,G492&lt;&gt;"Yes"),3,0)+IF(J492="Yes",2,0)+IF(OR(D492="1 venue",D492="2-6 venues"),1,0)+IF(OR(B492="Specialty coffee",B492="Brunch / cafe",B492="Dessert / bakery"),1,0)+IF(AND(N(H492)&gt;=4.3,N(I492)&gt;=50),1,0)+IF(AND(OR(M492&lt;&gt;"",N492&lt;&gt;""),O492&lt;&gt;""),1,0))</f>
        <v/>
      </c>
      <c r="S492" s="13">
        <f>IF(R492="","",IF(R492&gt;=6,"A",IF(R492&gt;=4,"B","C")))</f>
        <v/>
      </c>
      <c r="T492" s="10" t="n"/>
      <c r="U492" s="14" t="n"/>
      <c r="V492" s="10" t="n"/>
      <c r="W492" s="10" t="n"/>
    </row>
    <row r="493">
      <c r="A493" s="10" t="n"/>
      <c r="B493" s="10" t="n"/>
      <c r="C493" s="10" t="n"/>
      <c r="D493" s="10" t="n"/>
      <c r="E493" s="10" t="n"/>
      <c r="F493" s="11" t="n"/>
      <c r="G493" s="10" t="n"/>
      <c r="H493" s="12" t="n"/>
      <c r="I493" s="11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3">
        <f>IF(A493="","",IF(AND(N(F493)&gt;=3000,G493&lt;&gt;"Yes"),3,0)+IF(J493="Yes",2,0)+IF(OR(D493="1 venue",D493="2-6 venues"),1,0)+IF(OR(B493="Specialty coffee",B493="Brunch / cafe",B493="Dessert / bakery"),1,0)+IF(AND(N(H493)&gt;=4.3,N(I493)&gt;=50),1,0)+IF(AND(OR(M493&lt;&gt;"",N493&lt;&gt;""),O493&lt;&gt;""),1,0))</f>
        <v/>
      </c>
      <c r="S493" s="13">
        <f>IF(R493="","",IF(R493&gt;=6,"A",IF(R493&gt;=4,"B","C")))</f>
        <v/>
      </c>
      <c r="T493" s="10" t="n"/>
      <c r="U493" s="14" t="n"/>
      <c r="V493" s="10" t="n"/>
      <c r="W493" s="10" t="n"/>
    </row>
    <row r="494">
      <c r="A494" s="10" t="n"/>
      <c r="B494" s="10" t="n"/>
      <c r="C494" s="10" t="n"/>
      <c r="D494" s="10" t="n"/>
      <c r="E494" s="10" t="n"/>
      <c r="F494" s="11" t="n"/>
      <c r="G494" s="10" t="n"/>
      <c r="H494" s="12" t="n"/>
      <c r="I494" s="11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3">
        <f>IF(A494="","",IF(AND(N(F494)&gt;=3000,G494&lt;&gt;"Yes"),3,0)+IF(J494="Yes",2,0)+IF(OR(D494="1 venue",D494="2-6 venues"),1,0)+IF(OR(B494="Specialty coffee",B494="Brunch / cafe",B494="Dessert / bakery"),1,0)+IF(AND(N(H494)&gt;=4.3,N(I494)&gt;=50),1,0)+IF(AND(OR(M494&lt;&gt;"",N494&lt;&gt;""),O494&lt;&gt;""),1,0))</f>
        <v/>
      </c>
      <c r="S494" s="13">
        <f>IF(R494="","",IF(R494&gt;=6,"A",IF(R494&gt;=4,"B","C")))</f>
        <v/>
      </c>
      <c r="T494" s="10" t="n"/>
      <c r="U494" s="14" t="n"/>
      <c r="V494" s="10" t="n"/>
      <c r="W494" s="10" t="n"/>
    </row>
    <row r="495">
      <c r="A495" s="10" t="n"/>
      <c r="B495" s="10" t="n"/>
      <c r="C495" s="10" t="n"/>
      <c r="D495" s="10" t="n"/>
      <c r="E495" s="10" t="n"/>
      <c r="F495" s="11" t="n"/>
      <c r="G495" s="10" t="n"/>
      <c r="H495" s="12" t="n"/>
      <c r="I495" s="11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3">
        <f>IF(A495="","",IF(AND(N(F495)&gt;=3000,G495&lt;&gt;"Yes"),3,0)+IF(J495="Yes",2,0)+IF(OR(D495="1 venue",D495="2-6 venues"),1,0)+IF(OR(B495="Specialty coffee",B495="Brunch / cafe",B495="Dessert / bakery"),1,0)+IF(AND(N(H495)&gt;=4.3,N(I495)&gt;=50),1,0)+IF(AND(OR(M495&lt;&gt;"",N495&lt;&gt;""),O495&lt;&gt;""),1,0))</f>
        <v/>
      </c>
      <c r="S495" s="13">
        <f>IF(R495="","",IF(R495&gt;=6,"A",IF(R495&gt;=4,"B","C")))</f>
        <v/>
      </c>
      <c r="T495" s="10" t="n"/>
      <c r="U495" s="14" t="n"/>
      <c r="V495" s="10" t="n"/>
      <c r="W495" s="10" t="n"/>
    </row>
    <row r="496">
      <c r="A496" s="10" t="n"/>
      <c r="B496" s="10" t="n"/>
      <c r="C496" s="10" t="n"/>
      <c r="D496" s="10" t="n"/>
      <c r="E496" s="10" t="n"/>
      <c r="F496" s="11" t="n"/>
      <c r="G496" s="10" t="n"/>
      <c r="H496" s="12" t="n"/>
      <c r="I496" s="11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3">
        <f>IF(A496="","",IF(AND(N(F496)&gt;=3000,G496&lt;&gt;"Yes"),3,0)+IF(J496="Yes",2,0)+IF(OR(D496="1 venue",D496="2-6 venues"),1,0)+IF(OR(B496="Specialty coffee",B496="Brunch / cafe",B496="Dessert / bakery"),1,0)+IF(AND(N(H496)&gt;=4.3,N(I496)&gt;=50),1,0)+IF(AND(OR(M496&lt;&gt;"",N496&lt;&gt;""),O496&lt;&gt;""),1,0))</f>
        <v/>
      </c>
      <c r="S496" s="13">
        <f>IF(R496="","",IF(R496&gt;=6,"A",IF(R496&gt;=4,"B","C")))</f>
        <v/>
      </c>
      <c r="T496" s="10" t="n"/>
      <c r="U496" s="14" t="n"/>
      <c r="V496" s="10" t="n"/>
      <c r="W496" s="10" t="n"/>
    </row>
    <row r="497">
      <c r="A497" s="10" t="n"/>
      <c r="B497" s="10" t="n"/>
      <c r="C497" s="10" t="n"/>
      <c r="D497" s="10" t="n"/>
      <c r="E497" s="10" t="n"/>
      <c r="F497" s="11" t="n"/>
      <c r="G497" s="10" t="n"/>
      <c r="H497" s="12" t="n"/>
      <c r="I497" s="11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3">
        <f>IF(A497="","",IF(AND(N(F497)&gt;=3000,G497&lt;&gt;"Yes"),3,0)+IF(J497="Yes",2,0)+IF(OR(D497="1 venue",D497="2-6 venues"),1,0)+IF(OR(B497="Specialty coffee",B497="Brunch / cafe",B497="Dessert / bakery"),1,0)+IF(AND(N(H497)&gt;=4.3,N(I497)&gt;=50),1,0)+IF(AND(OR(M497&lt;&gt;"",N497&lt;&gt;""),O497&lt;&gt;""),1,0))</f>
        <v/>
      </c>
      <c r="S497" s="13">
        <f>IF(R497="","",IF(R497&gt;=6,"A",IF(R497&gt;=4,"B","C")))</f>
        <v/>
      </c>
      <c r="T497" s="10" t="n"/>
      <c r="U497" s="14" t="n"/>
      <c r="V497" s="10" t="n"/>
      <c r="W497" s="10" t="n"/>
    </row>
    <row r="498">
      <c r="A498" s="10" t="n"/>
      <c r="B498" s="10" t="n"/>
      <c r="C498" s="10" t="n"/>
      <c r="D498" s="10" t="n"/>
      <c r="E498" s="10" t="n"/>
      <c r="F498" s="11" t="n"/>
      <c r="G498" s="10" t="n"/>
      <c r="H498" s="12" t="n"/>
      <c r="I498" s="11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3">
        <f>IF(A498="","",IF(AND(N(F498)&gt;=3000,G498&lt;&gt;"Yes"),3,0)+IF(J498="Yes",2,0)+IF(OR(D498="1 venue",D498="2-6 venues"),1,0)+IF(OR(B498="Specialty coffee",B498="Brunch / cafe",B498="Dessert / bakery"),1,0)+IF(AND(N(H498)&gt;=4.3,N(I498)&gt;=50),1,0)+IF(AND(OR(M498&lt;&gt;"",N498&lt;&gt;""),O498&lt;&gt;""),1,0))</f>
        <v/>
      </c>
      <c r="S498" s="13">
        <f>IF(R498="","",IF(R498&gt;=6,"A",IF(R498&gt;=4,"B","C")))</f>
        <v/>
      </c>
      <c r="T498" s="10" t="n"/>
      <c r="U498" s="14" t="n"/>
      <c r="V498" s="10" t="n"/>
      <c r="W498" s="10" t="n"/>
    </row>
    <row r="499">
      <c r="A499" s="10" t="n"/>
      <c r="B499" s="10" t="n"/>
      <c r="C499" s="10" t="n"/>
      <c r="D499" s="10" t="n"/>
      <c r="E499" s="10" t="n"/>
      <c r="F499" s="11" t="n"/>
      <c r="G499" s="10" t="n"/>
      <c r="H499" s="12" t="n"/>
      <c r="I499" s="11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3">
        <f>IF(A499="","",IF(AND(N(F499)&gt;=3000,G499&lt;&gt;"Yes"),3,0)+IF(J499="Yes",2,0)+IF(OR(D499="1 venue",D499="2-6 venues"),1,0)+IF(OR(B499="Specialty coffee",B499="Brunch / cafe",B499="Dessert / bakery"),1,0)+IF(AND(N(H499)&gt;=4.3,N(I499)&gt;=50),1,0)+IF(AND(OR(M499&lt;&gt;"",N499&lt;&gt;""),O499&lt;&gt;""),1,0))</f>
        <v/>
      </c>
      <c r="S499" s="13">
        <f>IF(R499="","",IF(R499&gt;=6,"A",IF(R499&gt;=4,"B","C")))</f>
        <v/>
      </c>
      <c r="T499" s="10" t="n"/>
      <c r="U499" s="14" t="n"/>
      <c r="V499" s="10" t="n"/>
      <c r="W499" s="10" t="n"/>
    </row>
    <row r="500">
      <c r="A500" s="10" t="n"/>
      <c r="B500" s="10" t="n"/>
      <c r="C500" s="10" t="n"/>
      <c r="D500" s="10" t="n"/>
      <c r="E500" s="10" t="n"/>
      <c r="F500" s="11" t="n"/>
      <c r="G500" s="10" t="n"/>
      <c r="H500" s="12" t="n"/>
      <c r="I500" s="11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3">
        <f>IF(A500="","",IF(AND(N(F500)&gt;=3000,G500&lt;&gt;"Yes"),3,0)+IF(J500="Yes",2,0)+IF(OR(D500="1 venue",D500="2-6 venues"),1,0)+IF(OR(B500="Specialty coffee",B500="Brunch / cafe",B500="Dessert / bakery"),1,0)+IF(AND(N(H500)&gt;=4.3,N(I500)&gt;=50),1,0)+IF(AND(OR(M500&lt;&gt;"",N500&lt;&gt;""),O500&lt;&gt;""),1,0))</f>
        <v/>
      </c>
      <c r="S500" s="13">
        <f>IF(R500="","",IF(R500&gt;=6,"A",IF(R500&gt;=4,"B","C")))</f>
        <v/>
      </c>
      <c r="T500" s="10" t="n"/>
      <c r="U500" s="14" t="n"/>
      <c r="V500" s="10" t="n"/>
      <c r="W500" s="10" t="n"/>
    </row>
    <row r="501">
      <c r="A501" s="10" t="n"/>
      <c r="B501" s="10" t="n"/>
      <c r="C501" s="10" t="n"/>
      <c r="D501" s="10" t="n"/>
      <c r="E501" s="10" t="n"/>
      <c r="F501" s="11" t="n"/>
      <c r="G501" s="10" t="n"/>
      <c r="H501" s="12" t="n"/>
      <c r="I501" s="11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3">
        <f>IF(A501="","",IF(AND(N(F501)&gt;=3000,G501&lt;&gt;"Yes"),3,0)+IF(J501="Yes",2,0)+IF(OR(D501="1 venue",D501="2-6 venues"),1,0)+IF(OR(B501="Specialty coffee",B501="Brunch / cafe",B501="Dessert / bakery"),1,0)+IF(AND(N(H501)&gt;=4.3,N(I501)&gt;=50),1,0)+IF(AND(OR(M501&lt;&gt;"",N501&lt;&gt;""),O501&lt;&gt;""),1,0))</f>
        <v/>
      </c>
      <c r="S501" s="13">
        <f>IF(R501="","",IF(R501&gt;=6,"A",IF(R501&gt;=4,"B","C")))</f>
        <v/>
      </c>
      <c r="T501" s="10" t="n"/>
      <c r="U501" s="14" t="n"/>
      <c r="V501" s="10" t="n"/>
      <c r="W501" s="10" t="n"/>
    </row>
    <row r="502">
      <c r="A502" s="10" t="n"/>
      <c r="B502" s="10" t="n"/>
      <c r="C502" s="10" t="n"/>
      <c r="D502" s="10" t="n"/>
      <c r="E502" s="10" t="n"/>
      <c r="F502" s="11" t="n"/>
      <c r="G502" s="10" t="n"/>
      <c r="H502" s="12" t="n"/>
      <c r="I502" s="11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3">
        <f>IF(A502="","",IF(AND(N(F502)&gt;=3000,G502&lt;&gt;"Yes"),3,0)+IF(J502="Yes",2,0)+IF(OR(D502="1 venue",D502="2-6 venues"),1,0)+IF(OR(B502="Specialty coffee",B502="Brunch / cafe",B502="Dessert / bakery"),1,0)+IF(AND(N(H502)&gt;=4.3,N(I502)&gt;=50),1,0)+IF(AND(OR(M502&lt;&gt;"",N502&lt;&gt;""),O502&lt;&gt;""),1,0))</f>
        <v/>
      </c>
      <c r="S502" s="13">
        <f>IF(R502="","",IF(R502&gt;=6,"A",IF(R502&gt;=4,"B","C")))</f>
        <v/>
      </c>
      <c r="T502" s="10" t="n"/>
      <c r="U502" s="14" t="n"/>
      <c r="V502" s="10" t="n"/>
      <c r="W502" s="10" t="n"/>
    </row>
    <row r="503">
      <c r="A503" s="10" t="n"/>
      <c r="B503" s="10" t="n"/>
      <c r="C503" s="10" t="n"/>
      <c r="D503" s="10" t="n"/>
      <c r="E503" s="10" t="n"/>
      <c r="F503" s="11" t="n"/>
      <c r="G503" s="10" t="n"/>
      <c r="H503" s="12" t="n"/>
      <c r="I503" s="11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3">
        <f>IF(A503="","",IF(AND(N(F503)&gt;=3000,G503&lt;&gt;"Yes"),3,0)+IF(J503="Yes",2,0)+IF(OR(D503="1 venue",D503="2-6 venues"),1,0)+IF(OR(B503="Specialty coffee",B503="Brunch / cafe",B503="Dessert / bakery"),1,0)+IF(AND(N(H503)&gt;=4.3,N(I503)&gt;=50),1,0)+IF(AND(OR(M503&lt;&gt;"",N503&lt;&gt;""),O503&lt;&gt;""),1,0))</f>
        <v/>
      </c>
      <c r="S503" s="13">
        <f>IF(R503="","",IF(R503&gt;=6,"A",IF(R503&gt;=4,"B","C")))</f>
        <v/>
      </c>
      <c r="T503" s="10" t="n"/>
      <c r="U503" s="14" t="n"/>
      <c r="V503" s="10" t="n"/>
      <c r="W503" s="10" t="n"/>
    </row>
  </sheetData>
  <autoFilter ref="A3:W503"/>
  <mergeCells count="2">
    <mergeCell ref="A2:W2"/>
    <mergeCell ref="A1:W1"/>
  </mergeCells>
  <dataValidations count="8">
    <dataValidation sqref="B4:B503" showDropDown="0" showInputMessage="0" showErrorMessage="0" allowBlank="1" type="list">
      <formula1>'Lists (ref)'!$A$2:$A$8</formula1>
    </dataValidation>
    <dataValidation sqref="C4:C503" showDropDown="0" showInputMessage="0" showErrorMessage="0" allowBlank="1" type="list">
      <formula1>'Lists (ref)'!$B$2:$B$14</formula1>
    </dataValidation>
    <dataValidation sqref="D4:D503" showDropDown="0" showInputMessage="0" showErrorMessage="0" allowBlank="1" type="list">
      <formula1>'Lists (ref)'!$C$2:$C$4</formula1>
    </dataValidation>
    <dataValidation sqref="G4:G503" showDropDown="0" showInputMessage="0" showErrorMessage="0" allowBlank="1" type="list">
      <formula1>'Lists (ref)'!$D$2:$D$4</formula1>
    </dataValidation>
    <dataValidation sqref="J4:J503" showDropDown="0" showInputMessage="0" showErrorMessage="0" allowBlank="1" type="list">
      <formula1>'Lists (ref)'!$D$2:$D$4</formula1>
    </dataValidation>
    <dataValidation sqref="P4:P503" showDropDown="0" showInputMessage="0" showErrorMessage="0" allowBlank="1" type="list">
      <formula1>'Lists (ref)'!$F$2:$F$5</formula1>
    </dataValidation>
    <dataValidation sqref="Q4:Q503" showDropDown="0" showInputMessage="0" showErrorMessage="0" allowBlank="1" type="list">
      <formula1>'Lists (ref)'!$E$2:$E$6</formula1>
    </dataValidation>
    <dataValidation sqref="T4:T503" showDropDown="0" showInputMessage="0" showErrorMessage="0" allowBlank="1" type="list">
      <formula1>'Lists (ref)'!$G$2:$G$10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0" customWidth="1" min="4" max="4"/>
  </cols>
  <sheetData>
    <row r="1">
      <c r="B1" s="1" t="inlineStr">
        <is>
          <t>ICP &amp; Scoring — how to qualify a lead</t>
        </is>
      </c>
    </row>
    <row r="3">
      <c r="B3" s="15" t="inlineStr">
        <is>
          <t>Ideal Customer Profile (the 5-point checklist)</t>
        </is>
      </c>
    </row>
    <row r="4">
      <c r="B4" s="16" t="inlineStr">
        <is>
          <t>•  Type: coffee / brunch / dessert / visual dine-in</t>
        </is>
      </c>
      <c r="C4" s="17" t="inlineStr"/>
      <c r="D4" s="18" t="inlineStr">
        <is>
          <t>Places where visuals &amp; footfall matter. Skip fast food, dark kitchens, delivery-only.</t>
        </is>
      </c>
    </row>
    <row r="5">
      <c r="B5" s="16" t="inlineStr">
        <is>
          <t>•  Stage: newly opened (&lt;6 mo) OR active IG but irregular UGC</t>
        </is>
      </c>
      <c r="C5" s="17" t="inlineStr"/>
      <c r="D5" s="18" t="inlineStr">
        <is>
          <t>They need content + guests now — the sharpest pain your offer solves.</t>
        </is>
      </c>
    </row>
    <row r="6">
      <c r="B6" s="16" t="inlineStr">
        <is>
          <t>•  Size: 1-6 venues</t>
        </is>
      </c>
      <c r="C6" s="17" t="inlineStr"/>
      <c r="D6" s="18" t="inlineStr">
        <is>
          <t>Owner/marketing decides fast, no tender. Matches the form's segment.</t>
        </is>
      </c>
    </row>
    <row r="7">
      <c r="B7" s="16" t="inlineStr">
        <is>
          <t>•  Geo: 2-3 Dubai districts first (JVC, Business Bay, Marina, DIFC)</t>
        </is>
      </c>
      <c r="C7" s="17" t="inlineStr"/>
      <c r="D7" s="18" t="inlineStr">
        <is>
          <t>Density = reusable cases and warm referrals before you scale.</t>
        </is>
      </c>
    </row>
    <row r="8">
      <c r="B8" s="16" t="inlineStr">
        <is>
          <t>•  Reachable decision maker</t>
        </is>
      </c>
      <c r="C8" s="17" t="inlineStr"/>
      <c r="D8" s="18" t="inlineStr">
        <is>
          <t>You can find owner / SMM by name + a WhatsApp or email — not a generic info@ line.</t>
        </is>
      </c>
    </row>
    <row r="10">
      <c r="B10" s="15" t="inlineStr">
        <is>
          <t>Scoring (auto-computed in the Leads sheet)</t>
        </is>
      </c>
    </row>
    <row r="11">
      <c r="B11" s="19" t="inlineStr">
        <is>
          <t>Signal</t>
        </is>
      </c>
      <c r="C11" s="19" t="inlineStr">
        <is>
          <t>Points</t>
        </is>
      </c>
      <c r="D11" s="20" t="inlineStr">
        <is>
          <t>Why it matters</t>
        </is>
      </c>
    </row>
    <row r="12">
      <c r="B12" s="16" t="inlineStr">
        <is>
          <t>Active IG (≥3000 followers) AND does NOT already get lots of UGC</t>
        </is>
      </c>
      <c r="C12" s="17" t="inlineStr">
        <is>
          <t>+3</t>
        </is>
      </c>
      <c r="D12" s="18" t="inlineStr">
        <is>
          <t>Core fit: audience exists, but the creator flow is missing — exactly your product.</t>
        </is>
      </c>
    </row>
    <row r="13">
      <c r="B13" s="16" t="inlineStr">
        <is>
          <t>New venue (&lt;6 months)</t>
        </is>
      </c>
      <c r="C13" s="17" t="inlineStr">
        <is>
          <t>+2</t>
        </is>
      </c>
      <c r="D13" s="18" t="inlineStr">
        <is>
          <t>Highest urgency — they're building buzz right now.</t>
        </is>
      </c>
    </row>
    <row r="14">
      <c r="B14" s="16" t="inlineStr">
        <is>
          <t>Small operator (1-6 venues)</t>
        </is>
      </c>
      <c r="C14" s="17" t="inlineStr">
        <is>
          <t>+1</t>
        </is>
      </c>
      <c r="D14" s="18" t="inlineStr">
        <is>
          <t>Fast, single decision maker.</t>
        </is>
      </c>
    </row>
    <row r="15">
      <c r="B15" s="16" t="inlineStr">
        <is>
          <t>Visual segment (coffee / brunch / dessert)</t>
        </is>
      </c>
      <c r="C15" s="17" t="inlineStr">
        <is>
          <t>+1</t>
        </is>
      </c>
      <c r="D15" s="18" t="inlineStr">
        <is>
          <t>Best content ROI for creators.</t>
        </is>
      </c>
    </row>
    <row r="16">
      <c r="B16" s="16" t="inlineStr">
        <is>
          <t>Strong social proof (rating ≥4.3 AND ≥50 reviews)</t>
        </is>
      </c>
      <c r="C16" s="17" t="inlineStr">
        <is>
          <t>+1</t>
        </is>
      </c>
      <c r="D16" s="18" t="inlineStr">
        <is>
          <t>Real, working venue — worth a creator's visit.</t>
        </is>
      </c>
    </row>
    <row r="17">
      <c r="B17" s="16" t="inlineStr">
        <is>
          <t>Direct decision-maker contact (name + WhatsApp/email)</t>
        </is>
      </c>
      <c r="C17" s="17" t="inlineStr">
        <is>
          <t>+1</t>
        </is>
      </c>
      <c r="D17" s="18" t="inlineStr">
        <is>
          <t>You can actually start a 1:1 conversation.</t>
        </is>
      </c>
    </row>
    <row r="19">
      <c r="B19" s="16" t="inlineStr">
        <is>
          <t>Tier A</t>
        </is>
      </c>
      <c r="C19" s="17" t="inlineStr">
        <is>
          <t>≥ 6</t>
        </is>
      </c>
      <c r="D19" s="18" t="inlineStr">
        <is>
          <t>Work first. Personal 1:1 WhatsApp/IG opener + 2 real creator profiles.</t>
        </is>
      </c>
    </row>
    <row r="20">
      <c r="B20" s="16" t="inlineStr">
        <is>
          <t>Tier B</t>
        </is>
      </c>
      <c r="C20" s="17" t="inlineStr">
        <is>
          <t>4 - 5</t>
        </is>
      </c>
      <c r="D20" s="18" t="inlineStr">
        <is>
          <t>Second wave. Personalised but lighter touch.</t>
        </is>
      </c>
    </row>
    <row r="21">
      <c r="B21" s="16" t="inlineStr">
        <is>
          <t>Tier C</t>
        </is>
      </c>
      <c r="C21" s="17" t="inlineStr">
        <is>
          <t>1 - 3</t>
        </is>
      </c>
      <c r="D21" s="18" t="inlineStr">
        <is>
          <t>Email drip / nurture only. Don't spend manual time yet.</t>
        </is>
      </c>
    </row>
    <row r="23">
      <c r="B23" s="15" t="inlineStr">
        <is>
          <t>Compliance (UAE)</t>
        </is>
      </c>
    </row>
    <row r="24">
      <c r="B24" s="16" t="inlineStr">
        <is>
          <t>•  UAE PDPL + anti-spam rules apply. Collect only public business contacts.</t>
        </is>
      </c>
      <c r="C24" s="17" t="inlineStr"/>
      <c r="D24" s="18" t="inlineStr"/>
    </row>
    <row r="25">
      <c r="B25" s="16" t="inlineStr">
        <is>
          <t>•  WhatsApp is the main channel — but first touch is 1:1 and personal, never a bulk broadcast.</t>
        </is>
      </c>
      <c r="C25" s="17" t="inlineStr"/>
      <c r="D25" s="18" t="inlineStr"/>
    </row>
    <row r="26">
      <c r="B26" s="16" t="inlineStr">
        <is>
          <t>•  Email: keep an opt-out. No cold bulk WhatsApp broadcasts to an unconsented list.</t>
        </is>
      </c>
      <c r="C26" s="17" t="inlineStr"/>
      <c r="D26" s="18" t="inlineStr"/>
    </row>
    <row r="27">
      <c r="B27" s="16" t="inlineStr">
        <is>
          <t>•  Quality &gt; volume: 50 enriched Tier-A leads beat 1000 raw 'name + phone' rows.</t>
        </is>
      </c>
      <c r="C27" s="17" t="inlineStr"/>
      <c r="D27" s="18" t="inlineStr"/>
    </row>
  </sheetData>
  <mergeCells count="3">
    <mergeCell ref="B10:D10"/>
    <mergeCell ref="B23:D23"/>
    <mergeCell ref="B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1" t="inlineStr">
        <is>
          <t>Types</t>
        </is>
      </c>
      <c r="B1" s="21" t="inlineStr">
        <is>
          <t>Districts</t>
        </is>
      </c>
      <c r="C1" s="21" t="inlineStr">
        <is>
          <t>Locations</t>
        </is>
      </c>
      <c r="D1" s="21" t="inlineStr">
        <is>
          <t>Yes/No</t>
        </is>
      </c>
      <c r="E1" s="21" t="inlineStr">
        <is>
          <t>Channel</t>
        </is>
      </c>
      <c r="F1" s="21" t="inlineStr">
        <is>
          <t>Role</t>
        </is>
      </c>
      <c r="G1" s="21" t="inlineStr">
        <is>
          <t>Status</t>
        </is>
      </c>
    </row>
    <row r="2">
      <c r="A2" s="22" t="inlineStr">
        <is>
          <t>Specialty coffee</t>
        </is>
      </c>
      <c r="B2" s="22" t="inlineStr">
        <is>
          <t>JVC</t>
        </is>
      </c>
      <c r="C2" s="22" t="inlineStr">
        <is>
          <t>1 venue</t>
        </is>
      </c>
      <c r="D2" s="22" t="inlineStr">
        <is>
          <t>Yes</t>
        </is>
      </c>
      <c r="E2" s="22" t="inlineStr">
        <is>
          <t>WhatsApp</t>
        </is>
      </c>
      <c r="F2" s="22" t="inlineStr">
        <is>
          <t>Owner</t>
        </is>
      </c>
      <c r="G2" s="22" t="inlineStr">
        <is>
          <t>0 - New</t>
        </is>
      </c>
    </row>
    <row r="3">
      <c r="A3" s="22" t="inlineStr">
        <is>
          <t>Brunch / cafe</t>
        </is>
      </c>
      <c r="B3" s="22" t="inlineStr">
        <is>
          <t>Business Bay</t>
        </is>
      </c>
      <c r="C3" s="22" t="inlineStr">
        <is>
          <t>2-6 venues</t>
        </is>
      </c>
      <c r="D3" s="22" t="inlineStr">
        <is>
          <t>No</t>
        </is>
      </c>
      <c r="E3" s="22" t="inlineStr">
        <is>
          <t>Instagram DM</t>
        </is>
      </c>
      <c r="F3" s="22" t="inlineStr">
        <is>
          <t>Marketing / SMM</t>
        </is>
      </c>
      <c r="G3" s="22" t="inlineStr">
        <is>
          <t>1 - Enriched</t>
        </is>
      </c>
    </row>
    <row r="4">
      <c r="A4" s="22" t="inlineStr">
        <is>
          <t>Dessert / bakery</t>
        </is>
      </c>
      <c r="B4" s="22" t="inlineStr">
        <is>
          <t>Dubai Marina</t>
        </is>
      </c>
      <c r="C4" s="22" t="inlineStr">
        <is>
          <t>7+ venues</t>
        </is>
      </c>
      <c r="D4" s="22" t="inlineStr">
        <is>
          <t>Unknown</t>
        </is>
      </c>
      <c r="E4" s="22" t="inlineStr">
        <is>
          <t>Email</t>
        </is>
      </c>
      <c r="F4" s="22" t="inlineStr">
        <is>
          <t>GM / Manager</t>
        </is>
      </c>
      <c r="G4" s="22" t="inlineStr">
        <is>
          <t>2 - Contacted</t>
        </is>
      </c>
    </row>
    <row r="5">
      <c r="A5" s="22" t="inlineStr">
        <is>
          <t>Restaurant (dine-in)</t>
        </is>
      </c>
      <c r="B5" s="22" t="inlineStr">
        <is>
          <t>DIFC</t>
        </is>
      </c>
      <c r="E5" s="22" t="inlineStr">
        <is>
          <t>Phone</t>
        </is>
      </c>
      <c r="F5" s="22" t="inlineStr">
        <is>
          <t>Unknown</t>
        </is>
      </c>
      <c r="G5" s="22" t="inlineStr">
        <is>
          <t>3 - Replied</t>
        </is>
      </c>
    </row>
    <row r="6">
      <c r="A6" s="22" t="inlineStr">
        <is>
          <t>Healthy / bowls</t>
        </is>
      </c>
      <c r="B6" s="22" t="inlineStr">
        <is>
          <t>Downtown</t>
        </is>
      </c>
      <c r="E6" s="22" t="inlineStr">
        <is>
          <t>In person</t>
        </is>
      </c>
      <c r="G6" s="22" t="inlineStr">
        <is>
          <t>4 - Demo booked</t>
        </is>
      </c>
    </row>
    <row r="7">
      <c r="A7" s="22" t="inlineStr">
        <is>
          <t>Bar / lounge</t>
        </is>
      </c>
      <c r="B7" s="22" t="inlineStr">
        <is>
          <t>JLT</t>
        </is>
      </c>
      <c r="G7" s="22" t="inlineStr">
        <is>
          <t>5 - Trial started</t>
        </is>
      </c>
    </row>
    <row r="8">
      <c r="A8" s="22" t="inlineStr">
        <is>
          <t>Other</t>
        </is>
      </c>
      <c r="B8" s="22" t="inlineStr">
        <is>
          <t>Al Quoz</t>
        </is>
      </c>
      <c r="G8" s="22" t="inlineStr">
        <is>
          <t>6 - Won</t>
        </is>
      </c>
    </row>
    <row r="9">
      <c r="B9" s="22" t="inlineStr">
        <is>
          <t>City Walk</t>
        </is>
      </c>
      <c r="G9" s="22" t="inlineStr">
        <is>
          <t>X - Not a fit</t>
        </is>
      </c>
    </row>
    <row r="10">
      <c r="B10" s="22" t="inlineStr">
        <is>
          <t>Jumeirah</t>
        </is>
      </c>
      <c r="G10" s="22" t="inlineStr">
        <is>
          <t>X - No response</t>
        </is>
      </c>
    </row>
    <row r="11">
      <c r="B11" s="22" t="inlineStr">
        <is>
          <t>Deira</t>
        </is>
      </c>
    </row>
    <row r="12">
      <c r="B12" s="22" t="inlineStr">
        <is>
          <t>Abu Dhabi</t>
        </is>
      </c>
    </row>
    <row r="13">
      <c r="B13" s="22" t="inlineStr">
        <is>
          <t>Sharjah</t>
        </is>
      </c>
    </row>
    <row r="14">
      <c r="B14" s="22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6" customWidth="1" min="4" max="4"/>
    <col width="26" customWidth="1" min="5" max="5"/>
    <col width="26" customWidth="1" min="6" max="6"/>
    <col width="20" customWidth="1" min="7" max="7"/>
    <col width="22" customWidth="1" min="8" max="8"/>
    <col width="20" customWidth="1" min="9" max="9"/>
  </cols>
  <sheetData>
    <row r="1">
      <c r="A1" s="23" t="inlineStr">
        <is>
          <t>Deep enrichment — 6 layers (Aug 2026)</t>
        </is>
      </c>
    </row>
    <row r="2">
      <c r="A2" s="24" t="inlineStr">
        <is>
          <t>Green = confirmed/public · Amber = hypothesis, VERIFY before use (PDPL/spam risk) · Grey = login-gated or needs a call/visit</t>
        </is>
      </c>
    </row>
    <row r="4" ht="30" customHeight="1">
      <c r="A4" s="3" t="inlineStr">
        <is>
          <t>Venue</t>
        </is>
      </c>
      <c r="B4" s="3" t="inlineStr">
        <is>
          <t>L1 · IG (followers / posts)</t>
        </is>
      </c>
      <c r="C4" s="3" t="inlineStr">
        <is>
          <t>L1 · Creator-readiness</t>
        </is>
      </c>
      <c r="D4" s="3" t="inlineStr">
        <is>
          <t>L2 · Email (confirmed)</t>
        </is>
      </c>
      <c r="E4" s="3" t="inlineStr">
        <is>
          <t>L2 · Email hypothesis (verify!)</t>
        </is>
      </c>
      <c r="F4" s="3" t="inlineStr">
        <is>
          <t>L3 · Momentum / opened</t>
        </is>
      </c>
      <c r="G4" s="3" t="inlineStr">
        <is>
          <t>L4 · Delivery presence</t>
        </is>
      </c>
      <c r="H4" s="3" t="inlineStr">
        <is>
          <t>L5 · Website / tech</t>
        </is>
      </c>
      <c r="I4" s="3" t="inlineStr">
        <is>
          <t>L6 · Cross-rating</t>
        </is>
      </c>
    </row>
    <row r="5" ht="42" customHeight="1">
      <c r="A5" s="25" t="inlineStr">
        <is>
          <t>Stella's Coffee House - JVC</t>
        </is>
      </c>
      <c r="B5" s="26" t="inlineStr">
        <is>
          <t>@stellas_coffeehouse +TikTok; count login-gated</t>
        </is>
      </c>
      <c r="C5" s="26" t="inlineStr">
        <is>
          <t>Owner replies to every review; UGC cadence = manual</t>
        </is>
      </c>
      <c r="D5" s="27" t="inlineStr">
        <is>
          <t>bassel@stellasdxb.com (owner)</t>
        </is>
      </c>
      <c r="E5" s="28" t="inlineStr">
        <is>
          <t>firstname@stellasdxb.com pattern</t>
        </is>
      </c>
      <c r="F5" s="26" t="inlineStr">
        <is>
          <t>Dog-cafe hook; opened date = manual</t>
        </is>
      </c>
      <c r="G5" s="26" t="inlineStr">
        <is>
          <t>Talabat unclear (namesake boutique) — check</t>
        </is>
      </c>
      <c r="H5" s="27" t="inlineStr">
        <is>
          <t>stellasdxb.com (custom site)</t>
        </is>
      </c>
      <c r="I5" s="27" t="inlineStr">
        <is>
          <t>Google 4.9/300</t>
        </is>
      </c>
    </row>
    <row r="6" ht="42" customHeight="1">
      <c r="A6" s="25" t="inlineStr">
        <is>
          <t>VITOR CASTRO - JVC</t>
        </is>
      </c>
      <c r="B6" s="26" t="inlineStr">
        <is>
          <t>@vitorcastro.space; count login-gated</t>
        </is>
      </c>
      <c r="C6" s="27" t="inlineStr">
        <is>
          <t>Portuguese pastel de nata = highly shootable</t>
        </is>
      </c>
      <c r="D6" s="26" t="inlineStr">
        <is>
          <t>— (no domain)</t>
        </is>
      </c>
      <c r="E6" s="28" t="inlineStr">
        <is>
          <t>IG DM only</t>
        </is>
      </c>
      <c r="F6" s="27" t="inlineStr">
        <is>
          <t>NEW: opened ~Jul 2026 (Curly Tales) — HOT</t>
        </is>
      </c>
      <c r="G6" s="26" t="inlineStr">
        <is>
          <t>Not confirmed on aggregators</t>
        </is>
      </c>
      <c r="H6" s="27" t="inlineStr">
        <is>
          <t>No website → socials-first</t>
        </is>
      </c>
      <c r="I6" s="27" t="inlineStr">
        <is>
          <t>Google 4.9/168</t>
        </is>
      </c>
    </row>
    <row r="7" ht="42" customHeight="1">
      <c r="A7" s="25" t="inlineStr">
        <is>
          <t>Loukie's Speciality Coffee</t>
        </is>
      </c>
      <c r="B7" s="26" t="inlineStr">
        <is>
          <t>Handle unconfirmed — verify on site</t>
        </is>
      </c>
      <c r="C7" s="26" t="inlineStr">
        <is>
          <t>Manual (need handle first)</t>
        </is>
      </c>
      <c r="D7" s="26" t="inlineStr">
        <is>
          <t>— none confirmed</t>
        </is>
      </c>
      <c r="E7" s="28" t="inlineStr">
        <is>
          <t>info@loukies.coffee</t>
        </is>
      </c>
      <c r="F7" s="27" t="inlineStr">
        <is>
          <t>Site = 'coming soon' splash → rebrand/new?</t>
        </is>
      </c>
      <c r="G7" s="26" t="inlineStr">
        <is>
          <t>Manual</t>
        </is>
      </c>
      <c r="H7" s="27" t="inlineStr">
        <is>
          <t>loukies.coffee = placeholder page</t>
        </is>
      </c>
      <c r="I7" s="27" t="inlineStr">
        <is>
          <t>Google 4.9/135</t>
        </is>
      </c>
    </row>
    <row r="8" ht="42" customHeight="1">
      <c r="A8" s="25" t="inlineStr">
        <is>
          <t>Village Hangout Cafe (JVC)</t>
        </is>
      </c>
      <c r="B8" s="27" t="inlineStr">
        <is>
          <t>@villagehangoutcafe · 641 / 178</t>
        </is>
      </c>
      <c r="C8" s="27" t="inlineStr">
        <is>
          <t>1481 reviews vs 641 IG = weak flow → IDEAL</t>
        </is>
      </c>
      <c r="D8" s="27" t="inlineStr">
        <is>
          <t>villagehangoutjvc@gmail.com (owner Varsha)</t>
        </is>
      </c>
      <c r="E8" s="28" t="inlineStr">
        <is>
          <t>varsha@villagehangoutcafe.com</t>
        </is>
      </c>
      <c r="F8" s="27" t="inlineStr">
        <is>
          <t>Established, high review momentum</t>
        </is>
      </c>
      <c r="G8" s="27" t="inlineStr">
        <is>
          <t>On aggregators (contactless delivery)</t>
        </is>
      </c>
      <c r="H8" s="27" t="inlineStr">
        <is>
          <t>villagehangoutcafe.com (real site + About)</t>
        </is>
      </c>
      <c r="I8" s="27" t="inlineStr">
        <is>
          <t>Google 4.9/1481; on Tripadvisor</t>
        </is>
      </c>
    </row>
    <row r="9" ht="42" customHeight="1">
      <c r="A9" s="25" t="inlineStr">
        <is>
          <t>Roasters Specialty Coffee House Dubai Hills</t>
        </is>
      </c>
      <c r="B9" s="27" t="inlineStr">
        <is>
          <t>@roasterscoffee_dxb · 69K (chain)</t>
        </is>
      </c>
      <c r="C9" s="27" t="inlineStr">
        <is>
          <t>Already saturated with UGC → weak fit</t>
        </is>
      </c>
      <c r="D9" s="26" t="inlineStr">
        <is>
          <t>— (co-founder/CEO: Konstantin Harbuz)</t>
        </is>
      </c>
      <c r="E9" s="28" t="inlineStr">
        <is>
          <t>info@roasterscoffee.ae</t>
        </is>
      </c>
      <c r="F9" s="27" t="inlineStr">
        <is>
          <t>Dubai Hills branch just opened; big chain</t>
        </is>
      </c>
      <c r="G9" s="27" t="inlineStr">
        <is>
          <t>Yes (chain, all aggregators)</t>
        </is>
      </c>
      <c r="H9" s="27" t="inlineStr">
        <is>
          <t>roasterscoffee.ae + linktree</t>
        </is>
      </c>
      <c r="I9" s="27" t="inlineStr">
        <is>
          <t>Google 4.8/886</t>
        </is>
      </c>
    </row>
    <row r="10" ht="42" customHeight="1">
      <c r="A10" s="25" t="inlineStr">
        <is>
          <t>The Coffee Merchant</t>
        </is>
      </c>
      <c r="B10" s="27" t="inlineStr">
        <is>
          <t>@thecoffeemerchant.ae · 3.0K</t>
        </is>
      </c>
      <c r="C10" s="26" t="inlineStr">
        <is>
          <t>3K audience, UGC cadence = manual</t>
        </is>
      </c>
      <c r="D10" s="27" t="inlineStr">
        <is>
          <t>thecoffeemerchantae@gmail.com</t>
        </is>
      </c>
      <c r="E10" s="28" t="inlineStr">
        <is>
          <t>hello@thecoffeemerchant.ae</t>
        </is>
      </c>
      <c r="F10" s="27" t="inlineStr">
        <is>
          <t>Own roastery; sells beans online</t>
        </is>
      </c>
      <c r="G10" s="27" t="inlineStr">
        <is>
          <t>Own delivery (free UAE) via site</t>
        </is>
      </c>
      <c r="H10" s="27" t="inlineStr">
        <is>
          <t>Shopify e-commerce → cares about reach</t>
        </is>
      </c>
      <c r="I10" s="27" t="inlineStr">
        <is>
          <t>Google 4.9/397</t>
        </is>
      </c>
    </row>
    <row r="11" ht="42" customHeight="1">
      <c r="A11" s="25" t="inlineStr">
        <is>
          <t>Title Brew</t>
        </is>
      </c>
      <c r="B11" s="26" t="inlineStr">
        <is>
          <t>Handle unconfirmed — verify on site</t>
        </is>
      </c>
      <c r="C11" s="27" t="inlineStr">
        <is>
          <t>Indie/vinyl 'built for creatives' — good angle</t>
        </is>
      </c>
      <c r="D11" s="26" t="inlineStr">
        <is>
          <t>— (no domain)</t>
        </is>
      </c>
      <c r="E11" s="28" t="inlineStr">
        <is>
          <t>IG DM / phone</t>
        </is>
      </c>
      <c r="F11" s="27" t="inlineStr">
        <is>
          <t>NEW-ish: Zomato 0 ratings; ~AED115/2</t>
        </is>
      </c>
      <c r="G11" s="27" t="inlineStr">
        <is>
          <t>Minimal (takeaway; no delivery ratings)</t>
        </is>
      </c>
      <c r="H11" s="27" t="inlineStr">
        <is>
          <t>No website → socials-first</t>
        </is>
      </c>
      <c r="I11" s="27" t="inlineStr">
        <is>
          <t>Google 4.7/160; Zomato 0</t>
        </is>
      </c>
    </row>
    <row r="12" ht="42" customHeight="1">
      <c r="A12" s="25" t="inlineStr">
        <is>
          <t>Estekana Cafe</t>
        </is>
      </c>
      <c r="B12" s="27" t="inlineStr">
        <is>
          <t>@estekanacafe.ae · 389 / 135</t>
        </is>
      </c>
      <c r="C12" s="27" t="inlineStr">
        <is>
          <t>Burj Khalifa view = shootable; small audience</t>
        </is>
      </c>
      <c r="D12" s="26" t="inlineStr">
        <is>
          <t>— none confirmed</t>
        </is>
      </c>
      <c r="E12" s="28" t="inlineStr">
        <is>
          <t>via linktree l.wl.co</t>
        </is>
      </c>
      <c r="F12" s="27" t="inlineStr">
        <is>
          <t>Turkish coffee, view spot</t>
        </is>
      </c>
      <c r="G12" s="27" t="inlineStr">
        <is>
          <t>Drive-thru + Drivu/EatEasy listed</t>
        </is>
      </c>
      <c r="H12" s="27" t="inlineStr">
        <is>
          <t>Linktree, no real site</t>
        </is>
      </c>
      <c r="I12" s="27" t="inlineStr">
        <is>
          <t>Google 4.2/69 (lowest of set)</t>
        </is>
      </c>
    </row>
    <row r="13" ht="42" customHeight="1">
      <c r="A13" s="25" t="inlineStr">
        <is>
          <t>Baristas' Corner Business Bay</t>
        </is>
      </c>
      <c r="B13" s="27" t="inlineStr">
        <is>
          <t>@baristascornerofficial · 3.6K / 317</t>
        </is>
      </c>
      <c r="C13" s="26" t="inlineStr">
        <is>
          <t>3.6K + FB/Twitter/Snapchat; cadence manual</t>
        </is>
      </c>
      <c r="D13" s="27" t="inlineStr">
        <is>
          <t>info@baristascorner.com (decoded)</t>
        </is>
      </c>
      <c r="E13" s="27" t="inlineStr">
        <is>
          <t>mobile +971 56 446 4461 (WhatsApp)</t>
        </is>
      </c>
      <c r="F13" s="27" t="inlineStr">
        <is>
          <t>24h; 'Emirati entrepreneur' (name not public)</t>
        </is>
      </c>
      <c r="G13" s="27" t="inlineStr">
        <is>
          <t>Yes (magicpin / Zomato)</t>
        </is>
      </c>
      <c r="H13" s="27" t="inlineStr">
        <is>
          <t>baristascorner.com (real site)</t>
        </is>
      </c>
      <c r="I13" s="27" t="inlineStr">
        <is>
          <t>Google 4.4/158</t>
        </is>
      </c>
    </row>
    <row r="14" ht="42" customHeight="1">
      <c r="A14" s="25" t="inlineStr">
        <is>
          <t>Kimi - Speciality Coffee and Food</t>
        </is>
      </c>
      <c r="B14" s="26" t="inlineStr">
        <is>
          <t>@kimicafedubai; count login-gated</t>
        </is>
      </c>
      <c r="C14" s="27" t="inlineStr">
        <is>
          <t>Design-forward interior = shootable</t>
        </is>
      </c>
      <c r="D14" s="26" t="inlineStr">
        <is>
          <t>— none confirmed (site SSL error)</t>
        </is>
      </c>
      <c r="E14" s="28" t="inlineStr">
        <is>
          <t>hello@kimicafe.com</t>
        </is>
      </c>
      <c r="F14" s="27" t="inlineStr">
        <is>
          <t>Award-noted interior design</t>
        </is>
      </c>
      <c r="G14" s="27" t="inlineStr">
        <is>
          <t>Listed (Business Bay aggregators)</t>
        </is>
      </c>
      <c r="H14" s="27" t="inlineStr">
        <is>
          <t>kimicafe.com</t>
        </is>
      </c>
      <c r="I14" s="27" t="inlineStr">
        <is>
          <t>Google 4.8/176; 2GIS 3.5 (divergence!)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2026-08-25T15:53:26Z</dcterms:created>
  <dcterms:modified xsi:type="dcterms:W3CDTF">2026-08-25T15:53:27Z</dcterms:modified>
</cp:coreProperties>
</file>